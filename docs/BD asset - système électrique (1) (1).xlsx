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rice.dongmo\Documents\Planification opérationnelle_DEGS\"/>
    </mc:Choice>
  </mc:AlternateContent>
  <xr:revisionPtr revIDLastSave="0" documentId="13_ncr:1_{8E5D59A6-22CB-4208-A3EA-6E993B4F3D6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ype réseau et Réf production" sheetId="13" r:id="rId1"/>
    <sheet name="Type de réseau et réf transport" sheetId="5" r:id="rId2"/>
    <sheet name="Type de réseau et réf distribut" sheetId="15" r:id="rId3"/>
    <sheet name="Unité demanderesse" sheetId="6" r:id="rId4"/>
    <sheet name="Type de travaux" sheetId="7" r:id="rId5"/>
    <sheet name="Centrale thermique sollicitée" sheetId="17" r:id="rId6"/>
  </sheets>
  <definedNames>
    <definedName name="_xlnm._FilterDatabase" localSheetId="2" hidden="1">'Type de réseau et réf distribut'!$A$2:$F$307</definedName>
    <definedName name="_xlnm._FilterDatabase" localSheetId="1" hidden="1">'Type de réseau et réf transport'!$A$2:$E$150</definedName>
    <definedName name="_xlnm._FilterDatabase" localSheetId="0" hidden="1">'Type réseau et Réf production'!$A$2:$D$56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5" l="1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" i="1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3" i="5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3" i="13"/>
</calcChain>
</file>

<file path=xl/sharedStrings.xml><?xml version="1.0" encoding="utf-8"?>
<sst xmlns="http://schemas.openxmlformats.org/spreadsheetml/2006/main" count="1921" uniqueCount="650">
  <si>
    <t>Segment</t>
  </si>
  <si>
    <t>OUVRAGES
(Centrales/lignes RT&amp; postes RT)</t>
  </si>
  <si>
    <t>DEPARTS</t>
  </si>
  <si>
    <t>PRODUCTION - EDEA</t>
  </si>
  <si>
    <t>PRODUCTION - LAGDO</t>
  </si>
  <si>
    <t>PRODUCTION - SLL</t>
  </si>
  <si>
    <t>PRODUCTION - NHPC</t>
  </si>
  <si>
    <t>PRODUCTION - KPDC</t>
  </si>
  <si>
    <t>PRODUCTION - DPDC</t>
  </si>
  <si>
    <t>LAGDO</t>
  </si>
  <si>
    <t>DISTRIBUTION-DRY</t>
  </si>
  <si>
    <t>DISTRIBUTION-DRD</t>
  </si>
  <si>
    <t>DISTRIBUTION-DRNEA</t>
  </si>
  <si>
    <t>DISTRIBUTION-DRSM</t>
  </si>
  <si>
    <t>DISTRIBUTION-DRONO</t>
  </si>
  <si>
    <t>DISTRIBUTION-DRE</t>
  </si>
  <si>
    <t>DISTRIBUTION-DRC</t>
  </si>
  <si>
    <t>DISTRIBUTION-DRSOM</t>
  </si>
  <si>
    <t>DISTRIBUTION-DRSANO</t>
  </si>
  <si>
    <t>BRGM</t>
  </si>
  <si>
    <t>NGOUSSO</t>
  </si>
  <si>
    <t>KONDENGUI</t>
  </si>
  <si>
    <t>NSIMALEN</t>
  </si>
  <si>
    <t>NOMAYOS</t>
  </si>
  <si>
    <t>OYOMABANG</t>
  </si>
  <si>
    <t>KOUMASSI</t>
  </si>
  <si>
    <t>BASSA</t>
  </si>
  <si>
    <t>BEKOKO</t>
  </si>
  <si>
    <t>BONABERI</t>
  </si>
  <si>
    <t>DEIDO</t>
  </si>
  <si>
    <t>NGODI BAKOKO</t>
  </si>
  <si>
    <t>MAKEPE</t>
  </si>
  <si>
    <t>LOGBABA</t>
  </si>
  <si>
    <t>BAS.D118JAPOMA</t>
  </si>
  <si>
    <t>BAS.D11BASSA NORD</t>
  </si>
  <si>
    <t>BAS.D16SNEC</t>
  </si>
  <si>
    <t>BAS.D17POLANO</t>
  </si>
  <si>
    <t>KOU.D123 KOUMASSI RAIL</t>
  </si>
  <si>
    <t>KOU.D12 AKWA</t>
  </si>
  <si>
    <t>KOU.D15 BRASSERIES</t>
  </si>
  <si>
    <t>KOU.D16 CNPS</t>
  </si>
  <si>
    <t>KOU.D112 NGOLLE</t>
  </si>
  <si>
    <t>KOU.D114 SNCDV</t>
  </si>
  <si>
    <t>KOU.D115 SNEC ASTREINTE</t>
  </si>
  <si>
    <t>KOU.D116 AVIATION</t>
  </si>
  <si>
    <t>KOU.D18 KITCHNER</t>
  </si>
  <si>
    <t>KOU.D119 MEDCEM</t>
  </si>
  <si>
    <t>KOU.D120 CIMENTERIE MIRA</t>
  </si>
  <si>
    <t>KOU.D121 YABASSI</t>
  </si>
  <si>
    <t>KOU.D11 SONEL BUREAU</t>
  </si>
  <si>
    <t>KOU.D17 DEIDO</t>
  </si>
  <si>
    <t>KOU.D18 LOWE</t>
  </si>
  <si>
    <t>KOU.D19 LYCEE SAVIO</t>
  </si>
  <si>
    <t>KOU.D110 LYCEE TECHNIQUE</t>
  </si>
  <si>
    <t>KOU.D111 NDOUMBE EPEE</t>
  </si>
  <si>
    <t>KOU.D113 SERPENTS</t>
  </si>
  <si>
    <t>KOU.D117 ST MICHEL</t>
  </si>
  <si>
    <t>BAS.D121 ACIERIES</t>
  </si>
  <si>
    <t>BAS.D14STADE BEPANDA</t>
  </si>
  <si>
    <t>BAS.D126GRAND MALL</t>
  </si>
  <si>
    <t>BAS.D127 OYACK MEDUSE</t>
  </si>
  <si>
    <t>BAS.D18PROFOR</t>
  </si>
  <si>
    <t>BAS.D111SCIMPOS</t>
  </si>
  <si>
    <t>BAS.D116DUMEZ</t>
  </si>
  <si>
    <t>BAS.D124VIETEL</t>
  </si>
  <si>
    <t>BAS.D15ST MICHEL</t>
  </si>
  <si>
    <t>BAS.D110GUINNESS</t>
  </si>
  <si>
    <t>BAS.D115TP</t>
  </si>
  <si>
    <t>BAS.D117MASSOUMBOU</t>
  </si>
  <si>
    <t>BAS.D122COMAGRI</t>
  </si>
  <si>
    <t>BAS.D123MALANGUE</t>
  </si>
  <si>
    <t>BKK.D38BRASAF</t>
  </si>
  <si>
    <t>BKK.D39 ELIM</t>
  </si>
  <si>
    <t>BKK.D310 WFI</t>
  </si>
  <si>
    <t>BKK.D31DIBOMBARI</t>
  </si>
  <si>
    <t>BKK.D32BOMONO</t>
  </si>
  <si>
    <t>BKK.D33ROUTETIKO</t>
  </si>
  <si>
    <t>BKK.D34MINKWELLE</t>
  </si>
  <si>
    <t>BKK.D35BOADIBO</t>
  </si>
  <si>
    <t>BKK.D36CAMWATER</t>
  </si>
  <si>
    <t>BKK.D37OLAMCAM</t>
  </si>
  <si>
    <t>BON.D113 ACERO METAL</t>
  </si>
  <si>
    <t>BON.D114 MAYA</t>
  </si>
  <si>
    <t>BON.D13SOCAME</t>
  </si>
  <si>
    <t>BON.D112 NOVIA</t>
  </si>
  <si>
    <t>BON.D11BONABERI VILLE</t>
  </si>
  <si>
    <t>BON.D12P1ZI</t>
  </si>
  <si>
    <t>BON.D14INSTITUT TONJI</t>
  </si>
  <si>
    <t>BON.D16 CIMENCAM</t>
  </si>
  <si>
    <t>BON.D17MINKWELLE</t>
  </si>
  <si>
    <t>BON.D19CAMWATER</t>
  </si>
  <si>
    <t>BON.D111CIMAF</t>
  </si>
  <si>
    <t>BON.D115 ECO GREEN</t>
  </si>
  <si>
    <t>BON.D116 OK PLAST</t>
  </si>
  <si>
    <t>BON.A12MBOPPI - UIC</t>
  </si>
  <si>
    <t xml:space="preserve">DEI.D11MTN </t>
  </si>
  <si>
    <t>DEI.D12MTN</t>
  </si>
  <si>
    <t>DEI.D13CDB</t>
  </si>
  <si>
    <t>DEI.D14MBOPPI</t>
  </si>
  <si>
    <t>DEI.D18NOUVEL AKWA</t>
  </si>
  <si>
    <t>DEI.D15POLANO</t>
  </si>
  <si>
    <t>DEI.D16SOCOPAO</t>
  </si>
  <si>
    <t>DEI.D19QUAI</t>
  </si>
  <si>
    <t>DEI.D110ANCIEN AKWA</t>
  </si>
  <si>
    <t>DEI.D112NDOI MAETUR</t>
  </si>
  <si>
    <t>DEI.A12MAKEPE ( D17 BONEWONDA)</t>
  </si>
  <si>
    <t>BON.D15NANGAH</t>
  </si>
  <si>
    <t>BON.D18IYOCK</t>
  </si>
  <si>
    <t>BON.D110 HARJAAP / ACERO METAL</t>
  </si>
  <si>
    <t>NGO.D18 STADE JAPOMA</t>
  </si>
  <si>
    <t>NGO.D19 LOGEMENT SOCIAUX</t>
  </si>
  <si>
    <t>NGO.D11FERME AVICOLE</t>
  </si>
  <si>
    <t>NGO.D12RECASEMENT BILLE</t>
  </si>
  <si>
    <t>NGO.D13TRADEX</t>
  </si>
  <si>
    <t>NGO.D14LEPROSERIE</t>
  </si>
  <si>
    <t>NGO.D15MBOKO</t>
  </si>
  <si>
    <t>NGO.D16LIVRAISON MAGZI</t>
  </si>
  <si>
    <t>NGO.D17 NKOLBONG</t>
  </si>
  <si>
    <t>MAK.D11BONAMOUSSADI 1</t>
  </si>
  <si>
    <t>MAK.D15CRAYON D'OR</t>
  </si>
  <si>
    <t>MAK.D16MALANGUE</t>
  </si>
  <si>
    <t>MAK.D17BUREAUX MAETUR</t>
  </si>
  <si>
    <t>MAK.D110DISSAKE</t>
  </si>
  <si>
    <t>MAK.D12BONAMOUSSADI 2</t>
  </si>
  <si>
    <t>MAK.D14CIMB</t>
  </si>
  <si>
    <t>MAK.D114ORANGE DATA CENTER</t>
  </si>
  <si>
    <t>MAK.D111KOTTO NGONGANG</t>
  </si>
  <si>
    <t>MAK.D112MAIRIE 1</t>
  </si>
  <si>
    <t>MAK.D113MAIRIE 2</t>
  </si>
  <si>
    <t>LBB.D16SNEC</t>
  </si>
  <si>
    <t>LBB.D11G N  PK17</t>
  </si>
  <si>
    <t>LBB.D17ACIERIE</t>
  </si>
  <si>
    <t>LBB.D18METAFRIQUE</t>
  </si>
  <si>
    <t>LBB.D19PROMAL 3</t>
  </si>
  <si>
    <t>LBB.D111LBBBABA</t>
  </si>
  <si>
    <t>LBB.D114 LBBBABA</t>
  </si>
  <si>
    <t>DJAMBOUTOU</t>
  </si>
  <si>
    <t>GUIDER</t>
  </si>
  <si>
    <t>MAROUA</t>
  </si>
  <si>
    <t>NGAOUNDERE</t>
  </si>
  <si>
    <t>DJA.D11 CICAM</t>
  </si>
  <si>
    <t>DJA.D13 HUILERIE</t>
  </si>
  <si>
    <t>DJA.D15 RADIO</t>
  </si>
  <si>
    <t>DJA.D17 DEM</t>
  </si>
  <si>
    <t>DJA D19 SODECOTON</t>
  </si>
  <si>
    <t>DJA.D20 AEROPORT</t>
  </si>
  <si>
    <t>DJA.D21 STADE ROUMDE-ADJIA</t>
  </si>
  <si>
    <t>DJA.D12 VILLE</t>
  </si>
  <si>
    <t>DJA.D14 CICAM CABLE</t>
  </si>
  <si>
    <t>DJA.D18 SOCAPROD</t>
  </si>
  <si>
    <t>DJA.D31 BOKLE</t>
  </si>
  <si>
    <t>DJA.D32 GASHIGA</t>
  </si>
  <si>
    <t>GUI.D32 FIGUIL</t>
  </si>
  <si>
    <t>GUI.D33 MAYO OULO</t>
  </si>
  <si>
    <t>GUI.D35 GUIDER</t>
  </si>
  <si>
    <t>GUI.D36 CIMENCAM</t>
  </si>
  <si>
    <t>LAG.D12 CITE</t>
  </si>
  <si>
    <t>LAG.D31 TCH</t>
  </si>
  <si>
    <t>LAG.D32 LAM</t>
  </si>
  <si>
    <t>MRA.D31 MOKOLO</t>
  </si>
  <si>
    <t>MRA.D34 BOGOMAGA</t>
  </si>
  <si>
    <t>MRA.D36 MINDIF</t>
  </si>
  <si>
    <t>MRA.D32 MERI</t>
  </si>
  <si>
    <t>MRA.D11 VILLE</t>
  </si>
  <si>
    <t>MRA.D12 VILLE</t>
  </si>
  <si>
    <t>MRA.D13 VILLE</t>
  </si>
  <si>
    <t>MRA.D35 YAGOUA</t>
  </si>
  <si>
    <t>NGA.D11 VILLE</t>
  </si>
  <si>
    <t>NGA.D12 VINA</t>
  </si>
  <si>
    <t>NGA.D13 AEROPORT</t>
  </si>
  <si>
    <t>NGA.D14 ACERO METAL</t>
  </si>
  <si>
    <t>NGA.D31 MEIGANGA</t>
  </si>
  <si>
    <t>NGA.D33 TCHABAL</t>
  </si>
  <si>
    <t>DJOB</t>
  </si>
  <si>
    <t>EKOMBITIE</t>
  </si>
  <si>
    <t>MILE2 LIMBE</t>
  </si>
  <si>
    <t>NJOMBE</t>
  </si>
  <si>
    <t>BAFOUSSAM</t>
  </si>
  <si>
    <t>BAMENDA</t>
  </si>
  <si>
    <t>BERTOUA</t>
  </si>
  <si>
    <t>BDA.D11 VILLE</t>
  </si>
  <si>
    <t>BDA.D12 VILLE</t>
  </si>
  <si>
    <t>BDA.D13 VILLE</t>
  </si>
  <si>
    <t>BDA.D31 MBENGWI</t>
  </si>
  <si>
    <t>BDA.D32 WUM</t>
  </si>
  <si>
    <t>BDA.D33 MAMFE</t>
  </si>
  <si>
    <t>BDA.D35 KUMBO</t>
  </si>
  <si>
    <t>BDA.D36 MBOUDA</t>
  </si>
  <si>
    <t>BFS.D11 VILLE</t>
  </si>
  <si>
    <t>BFS.D11 VILLE-BAFOUSSAM</t>
  </si>
  <si>
    <t>BFS.D12 VILLE</t>
  </si>
  <si>
    <t>BFS.D13 VILLE</t>
  </si>
  <si>
    <t>BFS.D31 MBOUDA</t>
  </si>
  <si>
    <t>BFS.D32 FOUMBOT</t>
  </si>
  <si>
    <t>BFS.D33 BANGANGTE</t>
  </si>
  <si>
    <t>BENGBIS.D VILLE</t>
  </si>
  <si>
    <t>BER.D11 VILLE</t>
  </si>
  <si>
    <t>BER.D12VILLE</t>
  </si>
  <si>
    <t>BER.D31 BATOURI</t>
  </si>
  <si>
    <t>BER.D32 BELABO</t>
  </si>
  <si>
    <t>BER.D33 ABG</t>
  </si>
  <si>
    <t>BETARE.D CENTRALE</t>
  </si>
  <si>
    <t>NKONGSAMBA</t>
  </si>
  <si>
    <t>NDJ.D31 POUMA</t>
  </si>
  <si>
    <t>NDJ.D32BAFIA</t>
  </si>
  <si>
    <t>NDJ.D33 MATOMB</t>
  </si>
  <si>
    <t>NKS.D11VILLE</t>
  </si>
  <si>
    <t>NKS.D12VILLE</t>
  </si>
  <si>
    <t>NKS.D13VILLE</t>
  </si>
  <si>
    <t>NKS.D31MANJO</t>
  </si>
  <si>
    <t>NKS.D32BAFANG</t>
  </si>
  <si>
    <t>NJBE.D32 LOUM</t>
  </si>
  <si>
    <t>NJBE.D33 MBANGA</t>
  </si>
  <si>
    <t>NJBE.D34 PHP</t>
  </si>
  <si>
    <t>LBE.D31BUEA</t>
  </si>
  <si>
    <t>LBE.D32LIMBE</t>
  </si>
  <si>
    <t>LBE.D33TIKO</t>
  </si>
  <si>
    <t>LBE.D34SONARA</t>
  </si>
  <si>
    <t>TRANSPORT</t>
  </si>
  <si>
    <t>NDJOCK NKONG</t>
  </si>
  <si>
    <t>DISTRIBUTION-MAINTENANCE POSTES</t>
  </si>
  <si>
    <t>NGOU.D12 PRESIDENCE</t>
  </si>
  <si>
    <t>NGOU.D13 ESSOS</t>
  </si>
  <si>
    <t>NGOU.D15 SAFCA / D115 STADE OLEMBE</t>
  </si>
  <si>
    <t>NGOU.D110 P2 SNI</t>
  </si>
  <si>
    <t>NGOU.D116 NGOULMEKONG</t>
  </si>
  <si>
    <t>NGOU.D16 HOTEL DU PLATEAU</t>
  </si>
  <si>
    <t>NGOU.D17 HOPITAL GENERAL</t>
  </si>
  <si>
    <t>NGOU.D18 SOA</t>
  </si>
  <si>
    <t>NGOU.D19 MANSEL HOTEL / D114 EMANA</t>
  </si>
  <si>
    <t>NGOU.D111 BEAC</t>
  </si>
  <si>
    <t>NGOU.D112 SNEC NGOUSSO / D113 MVOG EBANDA</t>
  </si>
  <si>
    <t>NGOU.D117 NGOULMEKONG</t>
  </si>
  <si>
    <t>NGOU.D118 HOPITAUX</t>
  </si>
  <si>
    <t>KON.D11 KONDENGUI</t>
  </si>
  <si>
    <t>KON.D12 ETAM BAFIA</t>
  </si>
  <si>
    <t>KON.D13 P112 CORON</t>
  </si>
  <si>
    <t>KON.D15 P15 EKOUNOU</t>
  </si>
  <si>
    <t>KON.D16 SNEC NKOAYOS</t>
  </si>
  <si>
    <t>KON.D17 NKOABANG</t>
  </si>
  <si>
    <t>KON.D112 BRASSERIES</t>
  </si>
  <si>
    <t>NSI.D11 AEROGARE</t>
  </si>
  <si>
    <t>NSI.D31 MBALMAYO</t>
  </si>
  <si>
    <t>NSI.D32 YAOUNDE</t>
  </si>
  <si>
    <t>NYO.D31 NYOM</t>
  </si>
  <si>
    <t>NYO.D32 AKAK</t>
  </si>
  <si>
    <t>NYO.D33 PAEPYS</t>
  </si>
  <si>
    <t>OYO.D11 OYOMABANG</t>
  </si>
  <si>
    <t>OYO.D12 OYOMABANG</t>
  </si>
  <si>
    <t>OYO.D13 OYOMABANG</t>
  </si>
  <si>
    <t>OYO.D14 OYOMABANG</t>
  </si>
  <si>
    <t>AHA.D11 OBAM ONGOLA</t>
  </si>
  <si>
    <t>AHA.D12 BRASSERIES</t>
  </si>
  <si>
    <t>AHA.D13 NSIMEYONG</t>
  </si>
  <si>
    <t>AHA.D14 MENDONG</t>
  </si>
  <si>
    <t>AHA.D15 EP AUTOROUTE</t>
  </si>
  <si>
    <t>AHA.D16 ODZA</t>
  </si>
  <si>
    <t>AHA.D17 DAMASE</t>
  </si>
  <si>
    <t>AHA.D18 JOUVENCE</t>
  </si>
  <si>
    <t>AHA.D31 MESSAMENDONGO</t>
  </si>
  <si>
    <t>AHA.D32 MAKAK</t>
  </si>
  <si>
    <t>MPOLONGWE</t>
  </si>
  <si>
    <t>MPOL.D31 EDEA</t>
  </si>
  <si>
    <t>MPOL.D32 KRIBI</t>
  </si>
  <si>
    <t>MPOL.D33 PAK</t>
  </si>
  <si>
    <t>MPOL.D35 SNH</t>
  </si>
  <si>
    <t>MPOL.D36 KRIBI</t>
  </si>
  <si>
    <t>EDEA</t>
  </si>
  <si>
    <t>ED15KV.D14 VILLE N°1</t>
  </si>
  <si>
    <t>ED15KV.D14 VILLE N°2</t>
  </si>
  <si>
    <t>SLL_transfo 15kV</t>
  </si>
  <si>
    <t>CAMPO.D VILLE</t>
  </si>
  <si>
    <t>CAMPO-Transfo 15kV</t>
  </si>
  <si>
    <t>BRG.PMR A12 ETOUG-EBE</t>
  </si>
  <si>
    <t>BRG.PMR D13 CITE VERTE</t>
  </si>
  <si>
    <t>BRG.PMR D14 SNEC MESSA</t>
  </si>
  <si>
    <t>BRG.PMR D15 CUSS</t>
  </si>
  <si>
    <t>BRG.PMR D16 HOPITAL CENTRAL</t>
  </si>
  <si>
    <t>BRG.PMR D115 BRGM</t>
  </si>
  <si>
    <t>BRG.PMR D112 ASSEMBLEE NATIONALE</t>
  </si>
  <si>
    <t>BRG.PMR D113 ELOUMDEN</t>
  </si>
  <si>
    <t>BRG.D12 MESSA</t>
  </si>
  <si>
    <t>BRG.D17 PALAIS DES CONGRES</t>
  </si>
  <si>
    <t>BRG.D19 PREFECTURE</t>
  </si>
  <si>
    <t>BRG.D117 BRGM</t>
  </si>
  <si>
    <t>BRG.D110 BIYEMASSI</t>
  </si>
  <si>
    <t>BRG.D111 MELEN</t>
  </si>
  <si>
    <t>BRG.D31 BRGM</t>
  </si>
  <si>
    <t>NGO.D31 MONATELE</t>
  </si>
  <si>
    <t>NGO.D32 OBALA</t>
  </si>
  <si>
    <t>NGO.D34 AKONOLINGA</t>
  </si>
  <si>
    <t>KON.D14 P9 MVOG MBI</t>
  </si>
  <si>
    <t>NOM.D31 CIMENCAM</t>
  </si>
  <si>
    <t>NOM.D32 - AHALA II</t>
  </si>
  <si>
    <t>NOM.AHALA I</t>
  </si>
  <si>
    <t>DJO.D32 EBOLOWA VILLE</t>
  </si>
  <si>
    <t>DJO.D34 AMBAM</t>
  </si>
  <si>
    <t>DJO.D35 AMBAM I</t>
  </si>
  <si>
    <t>EKO.D31 LOLODORF (Ex Ebolowa)</t>
  </si>
  <si>
    <t>EKO.D32 SNEC</t>
  </si>
  <si>
    <t>EKO.D33 MBALMAYO</t>
  </si>
  <si>
    <t>EKO.D34 SANGMELIMA</t>
  </si>
  <si>
    <t>SLL.D11 MASSOCK</t>
  </si>
  <si>
    <t>EDEA_Groupe 07 - ALUCAM</t>
  </si>
  <si>
    <t>KOU.D 122 VALLEE BONANJO</t>
  </si>
  <si>
    <t>Entretien Jeu de barres</t>
  </si>
  <si>
    <t>Entretien transformateurs HTB</t>
  </si>
  <si>
    <t>Entretien lignes de transport</t>
  </si>
  <si>
    <t>Entretien appareillages de protection HTB</t>
  </si>
  <si>
    <t>Mise en service travée</t>
  </si>
  <si>
    <t>Entretien Auxiliaire de commande</t>
  </si>
  <si>
    <t>DCP</t>
  </si>
  <si>
    <t>Groupe 01 - TR01</t>
  </si>
  <si>
    <t>Groupe 02 - TR02</t>
  </si>
  <si>
    <t>Groupe 03 - TR03</t>
  </si>
  <si>
    <t>Groupe 04 - ALUCAM</t>
  </si>
  <si>
    <t>Groupe 05 - ALUCAM</t>
  </si>
  <si>
    <t>Groupe 06 - ALUCAM</t>
  </si>
  <si>
    <t>Groupe 08 - ALUCAM</t>
  </si>
  <si>
    <t>Groupe 09 - ALUCAM</t>
  </si>
  <si>
    <t>Groupe 10 - TR10</t>
  </si>
  <si>
    <t>Groupe 11 - TR11</t>
  </si>
  <si>
    <t>Groupe 12 -TR12</t>
  </si>
  <si>
    <t>Groupe 13 - TR13</t>
  </si>
  <si>
    <t>Groupe 14 - TR14</t>
  </si>
  <si>
    <t>Groupe 2 - TR02</t>
  </si>
  <si>
    <t>Groupe 3 - TR03</t>
  </si>
  <si>
    <t>Groupe 4 - TR04</t>
  </si>
  <si>
    <t>Groupe 1 - TR01</t>
  </si>
  <si>
    <t>Groupe 2 - TR01</t>
  </si>
  <si>
    <t>Groupe 5 - TR05</t>
  </si>
  <si>
    <t>Groupe 7 - TR07</t>
  </si>
  <si>
    <t>IPP</t>
  </si>
  <si>
    <t>Groupe 6 - TR06</t>
  </si>
  <si>
    <t>Groupe 01</t>
  </si>
  <si>
    <t>Groupe 02</t>
  </si>
  <si>
    <t>Groupe 03</t>
  </si>
  <si>
    <t>Groupe 04</t>
  </si>
  <si>
    <t>Groupe 05</t>
  </si>
  <si>
    <t>Groupe 06</t>
  </si>
  <si>
    <t>Groupe 07</t>
  </si>
  <si>
    <t>Groupe 08</t>
  </si>
  <si>
    <t>Groupe 09</t>
  </si>
  <si>
    <t>Groupe 10</t>
  </si>
  <si>
    <t>Groupe 11</t>
  </si>
  <si>
    <t>Groupe 12</t>
  </si>
  <si>
    <t>Groupe 13</t>
  </si>
  <si>
    <t xml:space="preserve">Groupe 1 </t>
  </si>
  <si>
    <t>Groupe 2</t>
  </si>
  <si>
    <t>Groupe 3</t>
  </si>
  <si>
    <t>Groupe 4</t>
  </si>
  <si>
    <t>Groupe 5</t>
  </si>
  <si>
    <t>Groupe 6</t>
  </si>
  <si>
    <t>Groupe 7</t>
  </si>
  <si>
    <t>Groupe 8</t>
  </si>
  <si>
    <t>Jeu de barres 90kV</t>
  </si>
  <si>
    <t>BRGM_POSTE SOURCE_HTA</t>
  </si>
  <si>
    <t>NGOUSSO_POSTE SOURCE_HTA</t>
  </si>
  <si>
    <t>KONDENGUI_POSTE SOURCE_HTA</t>
  </si>
  <si>
    <t>AHALA_POSTE SOURCE_HTA</t>
  </si>
  <si>
    <t>NSIMALEN_POSTE SOURCE_HTA</t>
  </si>
  <si>
    <t>NOMAYOS_POSTE SOURCE_HTA</t>
  </si>
  <si>
    <t>OYOMABANG_POSTE SOURCE_HTA</t>
  </si>
  <si>
    <t>NYOM II_POSTE SOURCE_HTA</t>
  </si>
  <si>
    <t>KOUMASSI_POSTE SOURCE_HTA</t>
  </si>
  <si>
    <t>BEKOKO_POSTE SOURCE_HTA</t>
  </si>
  <si>
    <t>BONABERI_POSTE SOURCE_HTA</t>
  </si>
  <si>
    <t>DEIDO_POSTE SOURCE_HTA</t>
  </si>
  <si>
    <t>MAKEPE_POSTE SOURCE_HTA</t>
  </si>
  <si>
    <t>NGODI BAKOKO_POSTE SOURCE_HTA</t>
  </si>
  <si>
    <t>LOGBABA_POSTE SOURCE_HTA</t>
  </si>
  <si>
    <t>BASSA_POSTE SOURCE_HTA</t>
  </si>
  <si>
    <t>MAROUA_POSTE SOURCE_HTA</t>
  </si>
  <si>
    <t>DJAMBOUTOU_POSTE SOURCE_HTA</t>
  </si>
  <si>
    <t>NGAOUNDERE_POSTE SOURCE_HTA</t>
  </si>
  <si>
    <t>DJOB_POSTE SOURCE_HTA</t>
  </si>
  <si>
    <t>EKOMBITIE_POSTE SOURCE_HTA</t>
  </si>
  <si>
    <t>NDJOCK NKONG_POSTE SOURCE_HTA</t>
  </si>
  <si>
    <t>NJOMBE_POSTE SOURCE_HTA</t>
  </si>
  <si>
    <t>NKONGSAMBA_POSTE SOURCE_HTA</t>
  </si>
  <si>
    <t>MILE 2 LIMBE_POSTE SOURCE_HTA</t>
  </si>
  <si>
    <t>BAFOUSSAM_POSTE SOURCE_HTA</t>
  </si>
  <si>
    <t>BAMENDA_POSTE SOURCE_HTA</t>
  </si>
  <si>
    <t>BERTOUA_POSTE SOURCE_HTA</t>
  </si>
  <si>
    <t>BRG.D11 P4</t>
  </si>
  <si>
    <t>BRG.D18 P61</t>
  </si>
  <si>
    <t>NGOU.D11 P265</t>
  </si>
  <si>
    <t>NGOU.D14 P135</t>
  </si>
  <si>
    <t>KOU.D13 BK3</t>
  </si>
  <si>
    <t>KOU.D14 BK4</t>
  </si>
  <si>
    <t>BAS.D12BK3</t>
  </si>
  <si>
    <t>BAS.D13BK4</t>
  </si>
  <si>
    <t>MAK.D13DA2</t>
  </si>
  <si>
    <t>MAK.D18DM2</t>
  </si>
  <si>
    <t xml:space="preserve">AHALA </t>
  </si>
  <si>
    <t>NYOM</t>
  </si>
  <si>
    <t>TRANSFO N°1 90/15kV</t>
  </si>
  <si>
    <t>TRANSFO N°2 90/15kV</t>
  </si>
  <si>
    <t xml:space="preserve">TRANSFO N°1 90/15kV </t>
  </si>
  <si>
    <t xml:space="preserve">TRANSFO N°2  15/30 KV </t>
  </si>
  <si>
    <t xml:space="preserve">TRANSFO N°2 90/15kV </t>
  </si>
  <si>
    <t xml:space="preserve">TRANSFO N°3 90/15kV </t>
  </si>
  <si>
    <t xml:space="preserve">TRANSFO  90/15kV  </t>
  </si>
  <si>
    <t xml:space="preserve">TRANSFO N°1 90/15kV   </t>
  </si>
  <si>
    <t>TRANSFO  90/30kV</t>
  </si>
  <si>
    <t xml:space="preserve">TRANSFO  90/15kV </t>
  </si>
  <si>
    <t>TRANSFO N°3 90/15kV</t>
  </si>
  <si>
    <t>Transfo TE 15/30 KV</t>
  </si>
  <si>
    <t>TRANSFO 90/15kV</t>
  </si>
  <si>
    <t>Transfo N°1 - 10/15KV</t>
  </si>
  <si>
    <t>Transfo N°3 - 15/30KV</t>
  </si>
  <si>
    <t>TRANSFO N°2 - 15/30KV</t>
  </si>
  <si>
    <t xml:space="preserve">TRANSFO  90/30kV </t>
  </si>
  <si>
    <t>TRANSFO  90/15kV</t>
  </si>
  <si>
    <t>Transfo N°1  15kV</t>
  </si>
  <si>
    <t>Transfo N°2  15kV</t>
  </si>
  <si>
    <t>TRANSFO N°1 90/30kV</t>
  </si>
  <si>
    <t>GR/TFO/POSTES/</t>
  </si>
  <si>
    <t>RAME 15kV</t>
  </si>
  <si>
    <t>RAME 30kV</t>
  </si>
  <si>
    <t>AT N°1  90/30kV</t>
  </si>
  <si>
    <t>D.Ligne 90kV OYOMABANG_BRGM</t>
  </si>
  <si>
    <t>D.Ligne 90kV OYOMABANG_NGOUSSO</t>
  </si>
  <si>
    <t>D.Ligne 90kV NGOUSSO_KONDENGUI</t>
  </si>
  <si>
    <t>AT N°1  90/15kV</t>
  </si>
  <si>
    <t>AT N°2  90/15kV</t>
  </si>
  <si>
    <t>AT N°3  90/15kV</t>
  </si>
  <si>
    <t>AT  90/15kV</t>
  </si>
  <si>
    <t>D.Ligne 90kV OYOMABANG_AHALA</t>
  </si>
  <si>
    <t>D.Ligne 90kV AHALA_NSIMALEN</t>
  </si>
  <si>
    <t>D.Ligne 90kV OYOMABANG-NOMAYOS</t>
  </si>
  <si>
    <t>AT N°1  225/90kV</t>
  </si>
  <si>
    <t>AT N°2  225/90kV</t>
  </si>
  <si>
    <t>Jeu de barres 225 kV</t>
  </si>
  <si>
    <t xml:space="preserve">Jeu de barres 90kV </t>
  </si>
  <si>
    <t>D.Ligne 225kV MANGOMBE-OYOMABANG</t>
  </si>
  <si>
    <t>D.Ligne 90kV LOGBABA-KOUMASSI</t>
  </si>
  <si>
    <t>D.Ligne 90kV BONABERI-BEKOKO</t>
  </si>
  <si>
    <t>D.Ligne 90kV DEIDO-BONABERI</t>
  </si>
  <si>
    <t>D.Ligne 90kV BASSA-DEIDO</t>
  </si>
  <si>
    <t>D.Ligne 90kV BASSA-MAKEPE</t>
  </si>
  <si>
    <t>D.Ligne 90kV LOGBABA-NGODI BAKOKO</t>
  </si>
  <si>
    <t>Jeu de barres 225kV</t>
  </si>
  <si>
    <t>D.Ligne 225kV MANGOMBE-LOGBABA</t>
  </si>
  <si>
    <t>D.Ligne 90kV LOGBABA-BASSA</t>
  </si>
  <si>
    <t>Jeu de barres 110kV</t>
  </si>
  <si>
    <t>D.Ligne 110kV GUIDER-MAROUA</t>
  </si>
  <si>
    <t>D.Ligne 110kV LAGDO-DJAMBOUTOU</t>
  </si>
  <si>
    <t>D.Ligne 110kV LAGDO-NGAOUNDERE</t>
  </si>
  <si>
    <t>AT   90/15kV</t>
  </si>
  <si>
    <t>D.Ligne 110kV DJAMBOUTOU-GUIDER</t>
  </si>
  <si>
    <t>D.Ligne 90kV MEMVELE-DJOB</t>
  </si>
  <si>
    <t>AT  110/15kV</t>
  </si>
  <si>
    <t>D.Ligne 90kV C_EDEA-NDJOCK NKONG</t>
  </si>
  <si>
    <t>D.Ligne 90kV NDJOCK NKONG-OYOMABANG</t>
  </si>
  <si>
    <t>D.Ligne 90kV BEKOKO-NJOMBE</t>
  </si>
  <si>
    <t>D.Ligne 90kV NJOMBE-NKONGSAMBA</t>
  </si>
  <si>
    <t>D.Ligne 90kV BEKOKO-MILE2 LIMBE</t>
  </si>
  <si>
    <t>D.Ligne 90kV NKONGSAMBA-BAFOUSSAM</t>
  </si>
  <si>
    <t>D.Ligne 90kV BAFOUSSAM-BAMENDA</t>
  </si>
  <si>
    <t>D.Ligne 90kV LOM PANGAR-BERTOUA</t>
  </si>
  <si>
    <t>TRAVEE 225 kV TFO</t>
  </si>
  <si>
    <t>TFO 225/90 kV 105 MVA</t>
  </si>
  <si>
    <t>D.Ligne 90 kV DIBAMBA – NGODI BAKOKO</t>
  </si>
  <si>
    <t>D.Ligne 225kV SOGLOULOU-LOGBABA</t>
  </si>
  <si>
    <t>D.Ligne 225 kV  SONGLOULOU- MANGOMBE 1</t>
  </si>
  <si>
    <t>D.Ligne 225 kV  SONGLOULOU- MANGOMBE 2</t>
  </si>
  <si>
    <t>D.Ligne 225 kV  NATCHIGAL-NYOM II</t>
  </si>
  <si>
    <t>TRANSFO 90/15kV N°1</t>
  </si>
  <si>
    <t>TRANSFO 90/15kV N°2</t>
  </si>
  <si>
    <t>TRANSFO 90/15kVN°2</t>
  </si>
  <si>
    <t>TRANSFO 90/15kV N°3</t>
  </si>
  <si>
    <t xml:space="preserve">TRANSFO 90/15kV </t>
  </si>
  <si>
    <t>RAME 15kV N°1</t>
  </si>
  <si>
    <t>RAME 15kV N°2</t>
  </si>
  <si>
    <t>RAME 30kV N°1</t>
  </si>
  <si>
    <t>RAME 15kV N°3</t>
  </si>
  <si>
    <t>TRANSFO  90/15kV N°1</t>
  </si>
  <si>
    <t>Appareillages Protection 90kV et Auxiliaires</t>
  </si>
  <si>
    <t>Appareillages Protection 225kV et Auxiliaires</t>
  </si>
  <si>
    <t>Appareillages Protection 110kV et Auxiliaires</t>
  </si>
  <si>
    <t>TRANSFO 90/30kV N°1</t>
  </si>
  <si>
    <t>TRANSFO 90/30kV N°2</t>
  </si>
  <si>
    <t>RAME 30kV N°2</t>
  </si>
  <si>
    <t xml:space="preserve">TRANSFO N°1 90/30kV </t>
  </si>
  <si>
    <t xml:space="preserve">TRANSFO N°2 90/30kV </t>
  </si>
  <si>
    <t>TRANSFO 90/30kV</t>
  </si>
  <si>
    <t>AT  90/30kV</t>
  </si>
  <si>
    <t>AT N°2  90/30kV</t>
  </si>
  <si>
    <t>TRANSFO  90/30kV N°2</t>
  </si>
  <si>
    <t xml:space="preserve">TRANSFO  110/15kV </t>
  </si>
  <si>
    <t>Transfo N°2 - 10/30KV</t>
  </si>
  <si>
    <t xml:space="preserve">TRANSFO N°2 15/30kV   </t>
  </si>
  <si>
    <t>D.Ligne 90kV AHALA-EKOMBITIE</t>
  </si>
  <si>
    <t>AT N°1  225/15kV</t>
  </si>
  <si>
    <t xml:space="preserve">TRANSFO 225/15kV </t>
  </si>
  <si>
    <t>Groupe 3 - TR02</t>
  </si>
  <si>
    <t>Groupe 4 - TR02</t>
  </si>
  <si>
    <t>Groupe 5 - TR03</t>
  </si>
  <si>
    <t>Groupe 6 - TR03</t>
  </si>
  <si>
    <t>Groupe 7 - TR04</t>
  </si>
  <si>
    <t>Groupe 8 - TR04</t>
  </si>
  <si>
    <t>D.Ligne 225 kV  NYOM II-OYOMABANG</t>
  </si>
  <si>
    <t>TRAVEE 90 kV TFO</t>
  </si>
  <si>
    <t xml:space="preserve">TRANSFO 225/90/15kV </t>
  </si>
  <si>
    <t>TRANSFO N°2 90/30kV</t>
  </si>
  <si>
    <t>GUIDER_POSTE SOURCE_HTA</t>
  </si>
  <si>
    <t>MPOLONGWE_POSTE SOURCE_HTA</t>
  </si>
  <si>
    <t>Groupe 1-  TR01</t>
  </si>
  <si>
    <t>TRANSPORT-CSE</t>
  </si>
  <si>
    <t>TRANSPORT-LSO</t>
  </si>
  <si>
    <t>TRANSPORT-NEA</t>
  </si>
  <si>
    <t>TRANSPORT-ONO</t>
  </si>
  <si>
    <t>DCP  Songloulou</t>
  </si>
  <si>
    <t>DCP Edéa</t>
  </si>
  <si>
    <t>DCP Lagdo</t>
  </si>
  <si>
    <t>IPP NHPC</t>
  </si>
  <si>
    <t>IPP DPDC</t>
  </si>
  <si>
    <t>IPP KPDC</t>
  </si>
  <si>
    <t>Transport Centre-Sud-Est</t>
  </si>
  <si>
    <t>Transport Littoral-Sud ouest</t>
  </si>
  <si>
    <t>Transport Ouest Nord Ouest</t>
  </si>
  <si>
    <t>Transport Nord-Extrême Nord-Adamaoua</t>
  </si>
  <si>
    <t>Distribution Poste source</t>
  </si>
  <si>
    <t>Exploitation Douala Nord</t>
  </si>
  <si>
    <t>Exploitation Douala Sud</t>
  </si>
  <si>
    <t>Exploitation Douala Ouest</t>
  </si>
  <si>
    <t>Exploitation Douala Est</t>
  </si>
  <si>
    <t>Exploitation Douala Centre</t>
  </si>
  <si>
    <t>Exploitation Yaoundé Nord</t>
  </si>
  <si>
    <t>Exploitation Yaoundé Sud</t>
  </si>
  <si>
    <t>Exploitation Yaoundé Ouest</t>
  </si>
  <si>
    <t>Exploitation Yaoundé Est</t>
  </si>
  <si>
    <t>Exploitation Yaoundé Centre</t>
  </si>
  <si>
    <t>Exploitation technique Centre</t>
  </si>
  <si>
    <t>Exploitation technique Sud Mbalmayo</t>
  </si>
  <si>
    <t>Exploitation technique Est</t>
  </si>
  <si>
    <t>Exploitation technique Ouest Nord Ouest</t>
  </si>
  <si>
    <t>Exploitation technique Sanaga Océan</t>
  </si>
  <si>
    <t>Exploitation technique Nord</t>
  </si>
  <si>
    <t>Exploitation technique Extrême-Nord</t>
  </si>
  <si>
    <t>Exploitation technique Adamaoua</t>
  </si>
  <si>
    <t>Exploitation technique Sud Ouest Moungo</t>
  </si>
  <si>
    <t>CONFECTION</t>
  </si>
  <si>
    <t>CONSTRUCTION</t>
  </si>
  <si>
    <t>CONTROLES GENERAUX</t>
  </si>
  <si>
    <t>Création</t>
  </si>
  <si>
    <t>DEPLACEMENT</t>
  </si>
  <si>
    <t>Dépose</t>
  </si>
  <si>
    <t>Elagage et Abattage</t>
  </si>
  <si>
    <t>Entretien Diagnostic poste HTB/HTA</t>
  </si>
  <si>
    <t>Eradication des zones rouges</t>
  </si>
  <si>
    <t>INSPECTION</t>
  </si>
  <si>
    <t>MAINTENANCE</t>
  </si>
  <si>
    <t>Maintenance de réseau</t>
  </si>
  <si>
    <t>Maintenance des poteaux bois</t>
  </si>
  <si>
    <t>Maintenance des transformateurs</t>
  </si>
  <si>
    <t>MONTAGE</t>
  </si>
  <si>
    <t>NORMALISATION</t>
  </si>
  <si>
    <t>Normalisations BT</t>
  </si>
  <si>
    <t>Normalisations MT</t>
  </si>
  <si>
    <t>PROTECTION</t>
  </si>
  <si>
    <t>RACCORDEMENT</t>
  </si>
  <si>
    <t>REHABILITATION</t>
  </si>
  <si>
    <t>Rehabilitation des lignes d'ossature HTA</t>
  </si>
  <si>
    <t>REMPLACEMENT</t>
  </si>
  <si>
    <t>RENFORCEMENT</t>
  </si>
  <si>
    <t>REPARATION</t>
  </si>
  <si>
    <t>Type travaux production</t>
  </si>
  <si>
    <t>Type travaux Transport</t>
  </si>
  <si>
    <t>Type travaux distribution</t>
  </si>
  <si>
    <t>Révision ciblé</t>
  </si>
  <si>
    <t>Entretien</t>
  </si>
  <si>
    <t>BRGM_POSTE SOURCE_HTB</t>
  </si>
  <si>
    <t>BRGM_LIGNE_HTB</t>
  </si>
  <si>
    <t>NGOUSSO_POSTE SOURCE_HTB</t>
  </si>
  <si>
    <t>NGOUSSO_LIGNE_HTB</t>
  </si>
  <si>
    <t>KONDENGUI_POSTE SOURCE_HTB</t>
  </si>
  <si>
    <t>AHALA_POSTE SOURCE_HTB</t>
  </si>
  <si>
    <t>AHALA_LIGNE_HTB</t>
  </si>
  <si>
    <t>NSIMALEN_POSTE SOURCE_HTB</t>
  </si>
  <si>
    <t>NSIMALEN_LIGNE_HTB</t>
  </si>
  <si>
    <t>NOMAYOS_POSTE SOURCE_HTB</t>
  </si>
  <si>
    <t>NOMAYOS_LIGNE_HTB</t>
  </si>
  <si>
    <t>OYOMABANG_POSTE SOURCE_HTB</t>
  </si>
  <si>
    <t>OYOMABANG_LIGNE_HTB</t>
  </si>
  <si>
    <t>NYOM II_POSTE SOURCE_HTB</t>
  </si>
  <si>
    <t>NYOM II_LIGNE_HTB</t>
  </si>
  <si>
    <t>KOUMASSI_POSTE SOURCE_HTB</t>
  </si>
  <si>
    <t>KOUMASSI_LIGNE_HTB</t>
  </si>
  <si>
    <t>BEKOKO_POSTE SOURCE_HTB</t>
  </si>
  <si>
    <t>BEKOKO_LIGNE_HTB</t>
  </si>
  <si>
    <t>BONABERI_POSTE SOURCE_HTB</t>
  </si>
  <si>
    <t>BONABERI_LIGNE_HTB</t>
  </si>
  <si>
    <t>DEIDO_POSTE SOURCE_HTB</t>
  </si>
  <si>
    <t>DEIDO_LIGNE_HTB</t>
  </si>
  <si>
    <t>MAKEPE_POSTE SOURCE_HTB</t>
  </si>
  <si>
    <t>MAKEPE_LIGNE_HTB</t>
  </si>
  <si>
    <t>NGODI BAKOKO_POSTE SOURCE_HTB</t>
  </si>
  <si>
    <t>NGODI BAKOKO_LIGNE_HTB</t>
  </si>
  <si>
    <t>LOGBABA_POSTE SOURCE_HTB</t>
  </si>
  <si>
    <t>LOGBABA_LIGNE_HTB</t>
  </si>
  <si>
    <t>BASSA_POSTE SOURCE_HTB</t>
  </si>
  <si>
    <t>BASSA_LIGNE_HTB</t>
  </si>
  <si>
    <t>MAROUA_POSTE SOURCE_HTB</t>
  </si>
  <si>
    <t>MAROUA_LIGNE_HTB</t>
  </si>
  <si>
    <t>DJAMBOUTOU_POSTE SOURCE_HTB</t>
  </si>
  <si>
    <t>DJAMBOUTOU_LIGNE_HTB</t>
  </si>
  <si>
    <t>GUIDER_POSTE SOURCE_HTB</t>
  </si>
  <si>
    <t>GUIDER_LIGNE_HTB</t>
  </si>
  <si>
    <t>LAGDO_POSTE SOURCE_HTB</t>
  </si>
  <si>
    <t>NGAOUNDERE_POSTE SOURCE_HTB</t>
  </si>
  <si>
    <t>NGAOUNDERE_LIGNE_HTB</t>
  </si>
  <si>
    <t>DJOB_POSTE SOURCE_HTB</t>
  </si>
  <si>
    <t>DJOB_LIGNE_HTB</t>
  </si>
  <si>
    <t>EKOMBITIE_POSTE SOURCE_HTB</t>
  </si>
  <si>
    <t>EKOMBITIE_LIGNE_HTB</t>
  </si>
  <si>
    <t>NDJOCK NKONG_POSTE SOURCE_HTB</t>
  </si>
  <si>
    <t>NDJOCK NKONG_LIGNE_HTB</t>
  </si>
  <si>
    <t>NJOMBE_POSTE SOURCE_HTB</t>
  </si>
  <si>
    <t>NJOMBE_LIGNE_HTB</t>
  </si>
  <si>
    <t>NKONGSAMBA_POSTE SOURCE_HTB</t>
  </si>
  <si>
    <t>NKONGSAMBA_LIGNE_HTB</t>
  </si>
  <si>
    <t>MILE 2 LIMBE_POSTE SOURCE_HTB</t>
  </si>
  <si>
    <t>MILE 2 LIMBE_LIGNE_HTB</t>
  </si>
  <si>
    <t>BAFOUSSAM_POSTE SOURCE_HTB</t>
  </si>
  <si>
    <t>BAFOUSSAM_LIGNE_HTB</t>
  </si>
  <si>
    <t>BAMENDA_POSTE SOURCE_HTB</t>
  </si>
  <si>
    <t>BAMENDA_LIGNE_HTB</t>
  </si>
  <si>
    <t>BERTOUA_POSTE SOURCE_HTB</t>
  </si>
  <si>
    <t>BERTOUA_LIGNE_HTB</t>
  </si>
  <si>
    <t>MPOLONGWE_POSTE SOURCE_HTB</t>
  </si>
  <si>
    <t xml:space="preserve">MANGOMBE_POSTE DE MANGOMBE </t>
  </si>
  <si>
    <t>MANGOMBE_LIGNE_HTB</t>
  </si>
  <si>
    <t>DIBAMBA_LIGNE_HTB</t>
  </si>
  <si>
    <t>REFERENCE</t>
  </si>
  <si>
    <t>PRODUCTION</t>
  </si>
  <si>
    <t>DISTRIBUTION</t>
  </si>
  <si>
    <t>CENTRALE THERMIQUE OYOMABANG. 1</t>
  </si>
  <si>
    <t>CENTRALE THERMIQUE OYOMABANG. 2</t>
  </si>
  <si>
    <t>CENTRALE THERMIQUE BAFOUSSAM</t>
  </si>
  <si>
    <t>CENTRALE THERMIQUE BERTOUTA</t>
  </si>
  <si>
    <t>CENTRALE THERMIQUE BAMENDA</t>
  </si>
  <si>
    <t>CENTRALE THERMIQUE MBALMAYO</t>
  </si>
  <si>
    <t>CENTRALE THERMIQUE EBOLOWA</t>
  </si>
  <si>
    <t>KPDC</t>
  </si>
  <si>
    <t>DPDC</t>
  </si>
  <si>
    <t xml:space="preserve">CENTRALE THERMIQUE LIMBE  </t>
  </si>
  <si>
    <t>CENTRALE THERMIQUE LOGBABA   2</t>
  </si>
  <si>
    <t>CENTRALE THERMIQUE LOGBABA 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</si>
</sst>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nsation"/>
    </font>
    <font>
      <b/>
      <sz val="11"/>
      <color theme="1"/>
      <name val="Calibri"/>
      <family val="2"/>
      <scheme val="minor"/>
    </font>
    <font>
      <b/>
      <sz val="9"/>
      <color theme="1"/>
      <name val="Sensation"/>
    </font>
    <font>
      <sz val="9"/>
      <color theme="1"/>
      <name val="Calibri"/>
      <family val="2"/>
      <scheme val="minor"/>
    </font>
    <font>
      <sz val="10"/>
      <color theme="1"/>
      <name val="Sensation"/>
    </font>
    <font>
      <sz val="10"/>
      <name val="Sensation"/>
    </font>
    <font>
      <sz val="10"/>
      <color rgb="FF000000"/>
      <name val="Sensation"/>
    </font>
    <font>
      <sz val="10"/>
      <color theme="1"/>
      <name val="Calibri"/>
      <family val="2"/>
      <scheme val="minor"/>
    </font>
    <font>
      <b/>
      <sz val="9"/>
      <color rgb="FF000000"/>
      <name val="Sansation"/>
    </font>
    <font>
      <b/>
      <sz val="9"/>
      <color rgb="FF000000"/>
      <name val="Sensation"/>
    </font>
    <font>
      <b/>
      <sz val="8"/>
      <color theme="1"/>
      <name val="Sensation"/>
    </font>
    <font>
      <sz val="9"/>
      <color theme="1"/>
      <name val="Sensation"/>
    </font>
    <font>
      <sz val="8"/>
      <color theme="1"/>
      <name val="Sensation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5" fillId="0" borderId="0" xfId="0" applyFont="1" applyAlignment="1"/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0" borderId="0" xfId="0" applyFont="1"/>
    <xf numFmtId="0" fontId="0" fillId="0" borderId="0" xfId="0" applyFont="1" applyAlignment="1">
      <alignment vertical="center"/>
    </xf>
    <xf numFmtId="0" fontId="0" fillId="0" borderId="1" xfId="0" applyBorder="1"/>
    <xf numFmtId="0" fontId="0" fillId="0" borderId="1" xfId="0" applyFont="1" applyBorder="1" applyAlignment="1">
      <alignment vertical="center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815F-41B5-4FB0-BF25-124FF098EA43}">
  <dimension ref="A2:D56"/>
  <sheetViews>
    <sheetView workbookViewId="0">
      <selection activeCell="C11" sqref="C11"/>
    </sheetView>
  </sheetViews>
  <sheetFormatPr baseColWidth="10" defaultColWidth="9.140625" defaultRowHeight="15"/>
  <cols>
    <col min="1" max="1" width="27.85546875" style="22" customWidth="1"/>
    <col min="2" max="2" width="34.7109375" style="16" customWidth="1"/>
    <col min="3" max="3" width="34.5703125" style="28" customWidth="1"/>
    <col min="4" max="4" width="50.28515625" customWidth="1"/>
  </cols>
  <sheetData>
    <row r="2" spans="1:4" s="2" customFormat="1" ht="30" customHeight="1">
      <c r="A2" s="25" t="s">
        <v>0</v>
      </c>
      <c r="B2" s="26" t="s">
        <v>1</v>
      </c>
      <c r="C2" s="27" t="s">
        <v>417</v>
      </c>
      <c r="D2" s="1" t="s">
        <v>635</v>
      </c>
    </row>
    <row r="3" spans="1:4" ht="29.25" customHeight="1">
      <c r="A3" s="18" t="s">
        <v>3</v>
      </c>
      <c r="B3" s="6" t="s">
        <v>311</v>
      </c>
      <c r="C3" s="8" t="s">
        <v>312</v>
      </c>
      <c r="D3" s="37" t="str">
        <f>A3&amp;"_"&amp;B3&amp;"_"&amp;C3</f>
        <v>PRODUCTION - EDEA_DCP_Groupe 01 - TR01</v>
      </c>
    </row>
    <row r="4" spans="1:4" ht="19.5" customHeight="1">
      <c r="A4" s="18" t="s">
        <v>3</v>
      </c>
      <c r="B4" s="6" t="s">
        <v>311</v>
      </c>
      <c r="C4" s="8" t="s">
        <v>313</v>
      </c>
      <c r="D4" s="37" t="str">
        <f t="shared" ref="D4:D56" si="0">A4&amp;"_"&amp;B4&amp;"_"&amp;C4</f>
        <v>PRODUCTION - EDEA_DCP_Groupe 02 - TR02</v>
      </c>
    </row>
    <row r="5" spans="1:4" ht="26.25" customHeight="1">
      <c r="A5" s="18" t="s">
        <v>3</v>
      </c>
      <c r="B5" s="6" t="s">
        <v>311</v>
      </c>
      <c r="C5" s="8" t="s">
        <v>314</v>
      </c>
      <c r="D5" s="37" t="str">
        <f t="shared" si="0"/>
        <v>PRODUCTION - EDEA_DCP_Groupe 03 - TR03</v>
      </c>
    </row>
    <row r="6" spans="1:4" ht="19.5" customHeight="1">
      <c r="A6" s="18" t="s">
        <v>3</v>
      </c>
      <c r="B6" s="6" t="s">
        <v>311</v>
      </c>
      <c r="C6" s="8" t="s">
        <v>315</v>
      </c>
      <c r="D6" s="37" t="str">
        <f t="shared" si="0"/>
        <v>PRODUCTION - EDEA_DCP_Groupe 04 - ALUCAM</v>
      </c>
    </row>
    <row r="7" spans="1:4" ht="26.25" customHeight="1">
      <c r="A7" s="18" t="s">
        <v>3</v>
      </c>
      <c r="B7" s="6" t="s">
        <v>311</v>
      </c>
      <c r="C7" s="8" t="s">
        <v>316</v>
      </c>
      <c r="D7" s="37" t="str">
        <f t="shared" si="0"/>
        <v>PRODUCTION - EDEA_DCP_Groupe 05 - ALUCAM</v>
      </c>
    </row>
    <row r="8" spans="1:4" ht="29.25" customHeight="1">
      <c r="A8" s="18" t="s">
        <v>3</v>
      </c>
      <c r="B8" s="6" t="s">
        <v>311</v>
      </c>
      <c r="C8" s="8" t="s">
        <v>317</v>
      </c>
      <c r="D8" s="37" t="str">
        <f t="shared" si="0"/>
        <v>PRODUCTION - EDEA_DCP_Groupe 06 - ALUCAM</v>
      </c>
    </row>
    <row r="9" spans="1:4">
      <c r="A9" s="18" t="s">
        <v>3</v>
      </c>
      <c r="B9" s="6" t="s">
        <v>311</v>
      </c>
      <c r="C9" s="8" t="s">
        <v>303</v>
      </c>
      <c r="D9" s="37" t="str">
        <f t="shared" si="0"/>
        <v>PRODUCTION - EDEA_DCP_EDEA_Groupe 07 - ALUCAM</v>
      </c>
    </row>
    <row r="10" spans="1:4">
      <c r="A10" s="18" t="s">
        <v>3</v>
      </c>
      <c r="B10" s="6" t="s">
        <v>311</v>
      </c>
      <c r="C10" s="8" t="s">
        <v>318</v>
      </c>
      <c r="D10" s="37" t="str">
        <f t="shared" si="0"/>
        <v>PRODUCTION - EDEA_DCP_Groupe 08 - ALUCAM</v>
      </c>
    </row>
    <row r="11" spans="1:4">
      <c r="A11" s="18" t="s">
        <v>3</v>
      </c>
      <c r="B11" s="6" t="s">
        <v>311</v>
      </c>
      <c r="C11" s="8" t="s">
        <v>319</v>
      </c>
      <c r="D11" s="37" t="str">
        <f t="shared" si="0"/>
        <v>PRODUCTION - EDEA_DCP_Groupe 09 - ALUCAM</v>
      </c>
    </row>
    <row r="12" spans="1:4">
      <c r="A12" s="18" t="s">
        <v>3</v>
      </c>
      <c r="B12" s="6" t="s">
        <v>311</v>
      </c>
      <c r="C12" s="8" t="s">
        <v>320</v>
      </c>
      <c r="D12" s="37" t="str">
        <f t="shared" si="0"/>
        <v>PRODUCTION - EDEA_DCP_Groupe 10 - TR10</v>
      </c>
    </row>
    <row r="13" spans="1:4">
      <c r="A13" s="18" t="s">
        <v>3</v>
      </c>
      <c r="B13" s="6" t="s">
        <v>311</v>
      </c>
      <c r="C13" s="8" t="s">
        <v>321</v>
      </c>
      <c r="D13" s="37" t="str">
        <f t="shared" si="0"/>
        <v>PRODUCTION - EDEA_DCP_Groupe 11 - TR11</v>
      </c>
    </row>
    <row r="14" spans="1:4">
      <c r="A14" s="18" t="s">
        <v>3</v>
      </c>
      <c r="B14" s="6" t="s">
        <v>311</v>
      </c>
      <c r="C14" s="8" t="s">
        <v>322</v>
      </c>
      <c r="D14" s="37" t="str">
        <f t="shared" si="0"/>
        <v>PRODUCTION - EDEA_DCP_Groupe 12 -TR12</v>
      </c>
    </row>
    <row r="15" spans="1:4">
      <c r="A15" s="18" t="s">
        <v>3</v>
      </c>
      <c r="B15" s="6" t="s">
        <v>311</v>
      </c>
      <c r="C15" s="8" t="s">
        <v>323</v>
      </c>
      <c r="D15" s="37" t="str">
        <f t="shared" si="0"/>
        <v>PRODUCTION - EDEA_DCP_Groupe 13 - TR13</v>
      </c>
    </row>
    <row r="16" spans="1:4">
      <c r="A16" s="18" t="s">
        <v>3</v>
      </c>
      <c r="B16" s="6" t="s">
        <v>311</v>
      </c>
      <c r="C16" s="8" t="s">
        <v>324</v>
      </c>
      <c r="D16" s="37" t="str">
        <f t="shared" si="0"/>
        <v>PRODUCTION - EDEA_DCP_Groupe 14 - TR14</v>
      </c>
    </row>
    <row r="17" spans="1:4">
      <c r="A17" s="18" t="s">
        <v>4</v>
      </c>
      <c r="B17" s="6" t="s">
        <v>311</v>
      </c>
      <c r="C17" s="8" t="s">
        <v>508</v>
      </c>
      <c r="D17" s="37" t="str">
        <f t="shared" si="0"/>
        <v>PRODUCTION - LAGDO_DCP_Groupe 1-  TR01</v>
      </c>
    </row>
    <row r="18" spans="1:4">
      <c r="A18" s="18" t="s">
        <v>4</v>
      </c>
      <c r="B18" s="6" t="s">
        <v>311</v>
      </c>
      <c r="C18" s="8" t="s">
        <v>325</v>
      </c>
      <c r="D18" s="37" t="str">
        <f t="shared" si="0"/>
        <v>PRODUCTION - LAGDO_DCP_Groupe 2 - TR02</v>
      </c>
    </row>
    <row r="19" spans="1:4">
      <c r="A19" s="18" t="s">
        <v>4</v>
      </c>
      <c r="B19" s="6" t="s">
        <v>311</v>
      </c>
      <c r="C19" s="8" t="s">
        <v>326</v>
      </c>
      <c r="D19" s="37" t="str">
        <f t="shared" si="0"/>
        <v>PRODUCTION - LAGDO_DCP_Groupe 3 - TR03</v>
      </c>
    </row>
    <row r="20" spans="1:4">
      <c r="A20" s="18" t="s">
        <v>4</v>
      </c>
      <c r="B20" s="6" t="s">
        <v>311</v>
      </c>
      <c r="C20" s="8" t="s">
        <v>327</v>
      </c>
      <c r="D20" s="37" t="str">
        <f t="shared" si="0"/>
        <v>PRODUCTION - LAGDO_DCP_Groupe 4 - TR04</v>
      </c>
    </row>
    <row r="21" spans="1:4">
      <c r="A21" s="18" t="s">
        <v>5</v>
      </c>
      <c r="B21" s="6" t="s">
        <v>311</v>
      </c>
      <c r="C21" s="8" t="s">
        <v>328</v>
      </c>
      <c r="D21" s="37" t="str">
        <f t="shared" si="0"/>
        <v>PRODUCTION - SLL_DCP_Groupe 1 - TR01</v>
      </c>
    </row>
    <row r="22" spans="1:4">
      <c r="A22" s="18" t="s">
        <v>5</v>
      </c>
      <c r="B22" s="6" t="s">
        <v>311</v>
      </c>
      <c r="C22" s="8" t="s">
        <v>329</v>
      </c>
      <c r="D22" s="37" t="str">
        <f t="shared" si="0"/>
        <v>PRODUCTION - SLL_DCP_Groupe 2 - TR01</v>
      </c>
    </row>
    <row r="23" spans="1:4">
      <c r="A23" s="18" t="s">
        <v>5</v>
      </c>
      <c r="B23" s="6" t="s">
        <v>311</v>
      </c>
      <c r="C23" s="8" t="s">
        <v>496</v>
      </c>
      <c r="D23" s="37" t="str">
        <f t="shared" si="0"/>
        <v>PRODUCTION - SLL_DCP_Groupe 3 - TR02</v>
      </c>
    </row>
    <row r="24" spans="1:4">
      <c r="A24" s="18" t="s">
        <v>5</v>
      </c>
      <c r="B24" s="6" t="s">
        <v>311</v>
      </c>
      <c r="C24" s="8" t="s">
        <v>497</v>
      </c>
      <c r="D24" s="37" t="str">
        <f t="shared" si="0"/>
        <v>PRODUCTION - SLL_DCP_Groupe 4 - TR02</v>
      </c>
    </row>
    <row r="25" spans="1:4">
      <c r="A25" s="18" t="s">
        <v>5</v>
      </c>
      <c r="B25" s="6" t="s">
        <v>311</v>
      </c>
      <c r="C25" s="8" t="s">
        <v>498</v>
      </c>
      <c r="D25" s="37" t="str">
        <f t="shared" si="0"/>
        <v>PRODUCTION - SLL_DCP_Groupe 5 - TR03</v>
      </c>
    </row>
    <row r="26" spans="1:4">
      <c r="A26" s="18" t="s">
        <v>5</v>
      </c>
      <c r="B26" s="6" t="s">
        <v>311</v>
      </c>
      <c r="C26" s="8" t="s">
        <v>499</v>
      </c>
      <c r="D26" s="37" t="str">
        <f t="shared" si="0"/>
        <v>PRODUCTION - SLL_DCP_Groupe 6 - TR03</v>
      </c>
    </row>
    <row r="27" spans="1:4">
      <c r="A27" s="18" t="s">
        <v>5</v>
      </c>
      <c r="B27" s="6" t="s">
        <v>311</v>
      </c>
      <c r="C27" s="8" t="s">
        <v>500</v>
      </c>
      <c r="D27" s="37" t="str">
        <f t="shared" si="0"/>
        <v>PRODUCTION - SLL_DCP_Groupe 7 - TR04</v>
      </c>
    </row>
    <row r="28" spans="1:4">
      <c r="A28" s="18" t="s">
        <v>5</v>
      </c>
      <c r="B28" s="6" t="s">
        <v>311</v>
      </c>
      <c r="C28" s="8" t="s">
        <v>501</v>
      </c>
      <c r="D28" s="37" t="str">
        <f t="shared" si="0"/>
        <v>PRODUCTION - SLL_DCP_Groupe 8 - TR04</v>
      </c>
    </row>
    <row r="29" spans="1:4">
      <c r="A29" s="18" t="s">
        <v>6</v>
      </c>
      <c r="B29" s="6" t="s">
        <v>332</v>
      </c>
      <c r="C29" s="8" t="s">
        <v>328</v>
      </c>
      <c r="D29" s="37" t="str">
        <f t="shared" si="0"/>
        <v>PRODUCTION - NHPC_IPP_Groupe 1 - TR01</v>
      </c>
    </row>
    <row r="30" spans="1:4">
      <c r="A30" s="18" t="s">
        <v>6</v>
      </c>
      <c r="B30" s="6" t="s">
        <v>332</v>
      </c>
      <c r="C30" s="8" t="s">
        <v>325</v>
      </c>
      <c r="D30" s="37" t="str">
        <f t="shared" si="0"/>
        <v>PRODUCTION - NHPC_IPP_Groupe 2 - TR02</v>
      </c>
    </row>
    <row r="31" spans="1:4">
      <c r="A31" s="18" t="s">
        <v>6</v>
      </c>
      <c r="B31" s="6" t="s">
        <v>332</v>
      </c>
      <c r="C31" s="8" t="s">
        <v>326</v>
      </c>
      <c r="D31" s="37" t="str">
        <f t="shared" si="0"/>
        <v>PRODUCTION - NHPC_IPP_Groupe 3 - TR03</v>
      </c>
    </row>
    <row r="32" spans="1:4">
      <c r="A32" s="18" t="s">
        <v>6</v>
      </c>
      <c r="B32" s="6" t="s">
        <v>332</v>
      </c>
      <c r="C32" s="8" t="s">
        <v>327</v>
      </c>
      <c r="D32" s="37" t="str">
        <f t="shared" si="0"/>
        <v>PRODUCTION - NHPC_IPP_Groupe 4 - TR04</v>
      </c>
    </row>
    <row r="33" spans="1:4">
      <c r="A33" s="18" t="s">
        <v>6</v>
      </c>
      <c r="B33" s="6" t="s">
        <v>332</v>
      </c>
      <c r="C33" s="8" t="s">
        <v>330</v>
      </c>
      <c r="D33" s="37" t="str">
        <f t="shared" si="0"/>
        <v>PRODUCTION - NHPC_IPP_Groupe 5 - TR05</v>
      </c>
    </row>
    <row r="34" spans="1:4">
      <c r="A34" s="18" t="s">
        <v>6</v>
      </c>
      <c r="B34" s="6" t="s">
        <v>332</v>
      </c>
      <c r="C34" s="8" t="s">
        <v>333</v>
      </c>
      <c r="D34" s="37" t="str">
        <f t="shared" si="0"/>
        <v>PRODUCTION - NHPC_IPP_Groupe 6 - TR06</v>
      </c>
    </row>
    <row r="35" spans="1:4">
      <c r="A35" s="18" t="s">
        <v>6</v>
      </c>
      <c r="B35" s="6" t="s">
        <v>332</v>
      </c>
      <c r="C35" s="8" t="s">
        <v>331</v>
      </c>
      <c r="D35" s="37" t="str">
        <f t="shared" si="0"/>
        <v>PRODUCTION - NHPC_IPP_Groupe 7 - TR07</v>
      </c>
    </row>
    <row r="36" spans="1:4">
      <c r="A36" s="18" t="s">
        <v>7</v>
      </c>
      <c r="B36" s="6" t="s">
        <v>332</v>
      </c>
      <c r="C36" s="8" t="s">
        <v>334</v>
      </c>
      <c r="D36" s="37" t="str">
        <f t="shared" si="0"/>
        <v>PRODUCTION - KPDC_IPP_Groupe 01</v>
      </c>
    </row>
    <row r="37" spans="1:4">
      <c r="A37" s="18" t="s">
        <v>7</v>
      </c>
      <c r="B37" s="6" t="s">
        <v>332</v>
      </c>
      <c r="C37" s="8" t="s">
        <v>335</v>
      </c>
      <c r="D37" s="37" t="str">
        <f t="shared" si="0"/>
        <v>PRODUCTION - KPDC_IPP_Groupe 02</v>
      </c>
    </row>
    <row r="38" spans="1:4">
      <c r="A38" s="18" t="s">
        <v>7</v>
      </c>
      <c r="B38" s="6" t="s">
        <v>332</v>
      </c>
      <c r="C38" s="8" t="s">
        <v>336</v>
      </c>
      <c r="D38" s="37" t="str">
        <f t="shared" si="0"/>
        <v>PRODUCTION - KPDC_IPP_Groupe 03</v>
      </c>
    </row>
    <row r="39" spans="1:4">
      <c r="A39" s="18" t="s">
        <v>7</v>
      </c>
      <c r="B39" s="6" t="s">
        <v>332</v>
      </c>
      <c r="C39" s="8" t="s">
        <v>337</v>
      </c>
      <c r="D39" s="37" t="str">
        <f t="shared" si="0"/>
        <v>PRODUCTION - KPDC_IPP_Groupe 04</v>
      </c>
    </row>
    <row r="40" spans="1:4">
      <c r="A40" s="18" t="s">
        <v>7</v>
      </c>
      <c r="B40" s="6" t="s">
        <v>332</v>
      </c>
      <c r="C40" s="8" t="s">
        <v>338</v>
      </c>
      <c r="D40" s="37" t="str">
        <f t="shared" si="0"/>
        <v>PRODUCTION - KPDC_IPP_Groupe 05</v>
      </c>
    </row>
    <row r="41" spans="1:4">
      <c r="A41" s="18" t="s">
        <v>7</v>
      </c>
      <c r="B41" s="6" t="s">
        <v>332</v>
      </c>
      <c r="C41" s="8" t="s">
        <v>339</v>
      </c>
      <c r="D41" s="37" t="str">
        <f t="shared" si="0"/>
        <v>PRODUCTION - KPDC_IPP_Groupe 06</v>
      </c>
    </row>
    <row r="42" spans="1:4">
      <c r="A42" s="18" t="s">
        <v>7</v>
      </c>
      <c r="B42" s="6" t="s">
        <v>332</v>
      </c>
      <c r="C42" s="8" t="s">
        <v>340</v>
      </c>
      <c r="D42" s="37" t="str">
        <f t="shared" si="0"/>
        <v>PRODUCTION - KPDC_IPP_Groupe 07</v>
      </c>
    </row>
    <row r="43" spans="1:4">
      <c r="A43" s="18" t="s">
        <v>7</v>
      </c>
      <c r="B43" s="6" t="s">
        <v>332</v>
      </c>
      <c r="C43" s="8" t="s">
        <v>341</v>
      </c>
      <c r="D43" s="37" t="str">
        <f t="shared" si="0"/>
        <v>PRODUCTION - KPDC_IPP_Groupe 08</v>
      </c>
    </row>
    <row r="44" spans="1:4">
      <c r="A44" s="18" t="s">
        <v>7</v>
      </c>
      <c r="B44" s="6" t="s">
        <v>332</v>
      </c>
      <c r="C44" s="8" t="s">
        <v>342</v>
      </c>
      <c r="D44" s="37" t="str">
        <f t="shared" si="0"/>
        <v>PRODUCTION - KPDC_IPP_Groupe 09</v>
      </c>
    </row>
    <row r="45" spans="1:4">
      <c r="A45" s="18" t="s">
        <v>7</v>
      </c>
      <c r="B45" s="6" t="s">
        <v>332</v>
      </c>
      <c r="C45" s="8" t="s">
        <v>343</v>
      </c>
      <c r="D45" s="37" t="str">
        <f t="shared" si="0"/>
        <v>PRODUCTION - KPDC_IPP_Groupe 10</v>
      </c>
    </row>
    <row r="46" spans="1:4">
      <c r="A46" s="18" t="s">
        <v>7</v>
      </c>
      <c r="B46" s="6" t="s">
        <v>332</v>
      </c>
      <c r="C46" s="8" t="s">
        <v>344</v>
      </c>
      <c r="D46" s="37" t="str">
        <f t="shared" si="0"/>
        <v>PRODUCTION - KPDC_IPP_Groupe 11</v>
      </c>
    </row>
    <row r="47" spans="1:4">
      <c r="A47" s="18" t="s">
        <v>7</v>
      </c>
      <c r="B47" s="6" t="s">
        <v>332</v>
      </c>
      <c r="C47" s="8" t="s">
        <v>345</v>
      </c>
      <c r="D47" s="37" t="str">
        <f t="shared" si="0"/>
        <v>PRODUCTION - KPDC_IPP_Groupe 12</v>
      </c>
    </row>
    <row r="48" spans="1:4">
      <c r="A48" s="18" t="s">
        <v>7</v>
      </c>
      <c r="B48" s="6" t="s">
        <v>332</v>
      </c>
      <c r="C48" s="8" t="s">
        <v>346</v>
      </c>
      <c r="D48" s="37" t="str">
        <f t="shared" si="0"/>
        <v>PRODUCTION - KPDC_IPP_Groupe 13</v>
      </c>
    </row>
    <row r="49" spans="1:4">
      <c r="A49" s="18" t="s">
        <v>8</v>
      </c>
      <c r="B49" s="6" t="s">
        <v>332</v>
      </c>
      <c r="C49" s="8" t="s">
        <v>347</v>
      </c>
      <c r="D49" s="37" t="str">
        <f t="shared" si="0"/>
        <v xml:space="preserve">PRODUCTION - DPDC_IPP_Groupe 1 </v>
      </c>
    </row>
    <row r="50" spans="1:4">
      <c r="A50" s="18" t="s">
        <v>8</v>
      </c>
      <c r="B50" s="6" t="s">
        <v>332</v>
      </c>
      <c r="C50" s="8" t="s">
        <v>348</v>
      </c>
      <c r="D50" s="37" t="str">
        <f t="shared" si="0"/>
        <v>PRODUCTION - DPDC_IPP_Groupe 2</v>
      </c>
    </row>
    <row r="51" spans="1:4">
      <c r="A51" s="18" t="s">
        <v>8</v>
      </c>
      <c r="B51" s="6" t="s">
        <v>332</v>
      </c>
      <c r="C51" s="8" t="s">
        <v>349</v>
      </c>
      <c r="D51" s="37" t="str">
        <f t="shared" si="0"/>
        <v>PRODUCTION - DPDC_IPP_Groupe 3</v>
      </c>
    </row>
    <row r="52" spans="1:4">
      <c r="A52" s="18" t="s">
        <v>8</v>
      </c>
      <c r="B52" s="6" t="s">
        <v>332</v>
      </c>
      <c r="C52" s="8" t="s">
        <v>350</v>
      </c>
      <c r="D52" s="37" t="str">
        <f t="shared" si="0"/>
        <v>PRODUCTION - DPDC_IPP_Groupe 4</v>
      </c>
    </row>
    <row r="53" spans="1:4">
      <c r="A53" s="18" t="s">
        <v>8</v>
      </c>
      <c r="B53" s="6" t="s">
        <v>332</v>
      </c>
      <c r="C53" s="8" t="s">
        <v>351</v>
      </c>
      <c r="D53" s="37" t="str">
        <f t="shared" si="0"/>
        <v>PRODUCTION - DPDC_IPP_Groupe 5</v>
      </c>
    </row>
    <row r="54" spans="1:4">
      <c r="A54" s="18" t="s">
        <v>8</v>
      </c>
      <c r="B54" s="6" t="s">
        <v>332</v>
      </c>
      <c r="C54" s="8" t="s">
        <v>352</v>
      </c>
      <c r="D54" s="37" t="str">
        <f t="shared" si="0"/>
        <v>PRODUCTION - DPDC_IPP_Groupe 6</v>
      </c>
    </row>
    <row r="55" spans="1:4">
      <c r="A55" s="18" t="s">
        <v>8</v>
      </c>
      <c r="B55" s="6" t="s">
        <v>332</v>
      </c>
      <c r="C55" s="8" t="s">
        <v>353</v>
      </c>
      <c r="D55" s="37" t="str">
        <f t="shared" si="0"/>
        <v>PRODUCTION - DPDC_IPP_Groupe 7</v>
      </c>
    </row>
    <row r="56" spans="1:4">
      <c r="A56" s="18" t="s">
        <v>8</v>
      </c>
      <c r="B56" s="6" t="s">
        <v>332</v>
      </c>
      <c r="C56" s="8" t="s">
        <v>354</v>
      </c>
      <c r="D56" s="37" t="str">
        <f t="shared" si="0"/>
        <v>PRODUCTION - DPDC_IPP_Groupe 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8DE8-5281-48A9-94A7-F835B5E33FA4}">
  <dimension ref="A2:E150"/>
  <sheetViews>
    <sheetView topLeftCell="A64" workbookViewId="0">
      <selection activeCell="D5" sqref="D5"/>
    </sheetView>
  </sheetViews>
  <sheetFormatPr baseColWidth="10" defaultColWidth="9.140625" defaultRowHeight="15"/>
  <cols>
    <col min="1" max="1" width="27.85546875" style="22" customWidth="1"/>
    <col min="2" max="2" width="34.7109375" style="16" customWidth="1"/>
    <col min="3" max="3" width="34.5703125" style="28" customWidth="1"/>
    <col min="4" max="4" width="69.42578125" style="17" customWidth="1"/>
    <col min="5" max="5" width="39.42578125" customWidth="1"/>
  </cols>
  <sheetData>
    <row r="2" spans="1:5" s="2" customFormat="1" ht="30" customHeight="1">
      <c r="A2" s="25" t="s">
        <v>0</v>
      </c>
      <c r="B2" s="26" t="s">
        <v>1</v>
      </c>
      <c r="C2" s="27" t="s">
        <v>417</v>
      </c>
      <c r="D2" s="26" t="s">
        <v>635</v>
      </c>
      <c r="E2" s="3"/>
    </row>
    <row r="3" spans="1:5" ht="22.5">
      <c r="A3" s="19" t="s">
        <v>509</v>
      </c>
      <c r="B3" s="37" t="s">
        <v>573</v>
      </c>
      <c r="C3" s="8" t="s">
        <v>424</v>
      </c>
      <c r="D3" s="38" t="str">
        <f>A3&amp;"_"&amp;B3&amp;"_"&amp;C3</f>
        <v>TRANSPORT-CSE_BRGM_POSTE SOURCE_HTB_AT N°1  90/15kV</v>
      </c>
      <c r="E3" s="4"/>
    </row>
    <row r="4" spans="1:5" ht="22.5">
      <c r="A4" s="19" t="s">
        <v>509</v>
      </c>
      <c r="B4" s="37" t="s">
        <v>573</v>
      </c>
      <c r="C4" s="8" t="s">
        <v>425</v>
      </c>
      <c r="D4" s="38" t="str">
        <f t="shared" ref="D4:D67" si="0">A4&amp;"_"&amp;B4&amp;"_"&amp;C4</f>
        <v>TRANSPORT-CSE_BRGM_POSTE SOURCE_HTB_AT N°2  90/15kV</v>
      </c>
      <c r="E4" s="4"/>
    </row>
    <row r="5" spans="1:5" ht="22.5">
      <c r="A5" s="19" t="s">
        <v>509</v>
      </c>
      <c r="B5" s="37" t="s">
        <v>573</v>
      </c>
      <c r="C5" s="8" t="s">
        <v>355</v>
      </c>
      <c r="D5" s="38" t="str">
        <f t="shared" si="0"/>
        <v>TRANSPORT-CSE_BRGM_POSTE SOURCE_HTB_Jeu de barres 90kV</v>
      </c>
      <c r="E5" s="4"/>
    </row>
    <row r="6" spans="1:5" ht="25.5">
      <c r="A6" s="19" t="s">
        <v>509</v>
      </c>
      <c r="B6" s="37" t="s">
        <v>573</v>
      </c>
      <c r="C6" s="8" t="s">
        <v>478</v>
      </c>
      <c r="D6" s="38" t="str">
        <f t="shared" si="0"/>
        <v>TRANSPORT-CSE_BRGM_POSTE SOURCE_HTB_Appareillages Protection 90kV et Auxiliaires</v>
      </c>
      <c r="E6" s="4"/>
    </row>
    <row r="7" spans="1:5" ht="22.5">
      <c r="A7" s="19" t="s">
        <v>509</v>
      </c>
      <c r="B7" s="37" t="s">
        <v>574</v>
      </c>
      <c r="C7" s="8" t="s">
        <v>421</v>
      </c>
      <c r="D7" s="38" t="str">
        <f t="shared" si="0"/>
        <v>TRANSPORT-CSE_BRGM_LIGNE_HTB_D.Ligne 90kV OYOMABANG_BRGM</v>
      </c>
      <c r="E7" s="4"/>
    </row>
    <row r="8" spans="1:5" ht="22.5">
      <c r="A8" s="19" t="s">
        <v>509</v>
      </c>
      <c r="B8" s="37" t="s">
        <v>575</v>
      </c>
      <c r="C8" s="8" t="s">
        <v>420</v>
      </c>
      <c r="D8" s="38" t="str">
        <f t="shared" si="0"/>
        <v>TRANSPORT-CSE_NGOUSSO_POSTE SOURCE_HTB_AT N°1  90/30kV</v>
      </c>
      <c r="E8" s="4"/>
    </row>
    <row r="9" spans="1:5" ht="22.5">
      <c r="A9" s="19" t="s">
        <v>509</v>
      </c>
      <c r="B9" s="37" t="s">
        <v>575</v>
      </c>
      <c r="C9" s="8" t="s">
        <v>425</v>
      </c>
      <c r="D9" s="38" t="str">
        <f t="shared" si="0"/>
        <v>TRANSPORT-CSE_NGOUSSO_POSTE SOURCE_HTB_AT N°2  90/15kV</v>
      </c>
      <c r="E9" s="4"/>
    </row>
    <row r="10" spans="1:5" ht="22.5">
      <c r="A10" s="19" t="s">
        <v>509</v>
      </c>
      <c r="B10" s="37" t="s">
        <v>575</v>
      </c>
      <c r="C10" s="8" t="s">
        <v>426</v>
      </c>
      <c r="D10" s="38" t="str">
        <f t="shared" si="0"/>
        <v>TRANSPORT-CSE_NGOUSSO_POSTE SOURCE_HTB_AT N°3  90/15kV</v>
      </c>
      <c r="E10" s="4"/>
    </row>
    <row r="11" spans="1:5" ht="25.5">
      <c r="A11" s="19" t="s">
        <v>509</v>
      </c>
      <c r="B11" s="37" t="s">
        <v>575</v>
      </c>
      <c r="C11" s="8" t="s">
        <v>478</v>
      </c>
      <c r="D11" s="38" t="str">
        <f t="shared" si="0"/>
        <v>TRANSPORT-CSE_NGOUSSO_POSTE SOURCE_HTB_Appareillages Protection 90kV et Auxiliaires</v>
      </c>
      <c r="E11" s="4"/>
    </row>
    <row r="12" spans="1:5" ht="22.5">
      <c r="A12" s="19" t="s">
        <v>509</v>
      </c>
      <c r="B12" s="37" t="s">
        <v>575</v>
      </c>
      <c r="C12" s="8" t="s">
        <v>355</v>
      </c>
      <c r="D12" s="38" t="str">
        <f t="shared" si="0"/>
        <v>TRANSPORT-CSE_NGOUSSO_POSTE SOURCE_HTB_Jeu de barres 90kV</v>
      </c>
      <c r="E12" s="4"/>
    </row>
    <row r="13" spans="1:5" ht="25.5">
      <c r="A13" s="19" t="s">
        <v>509</v>
      </c>
      <c r="B13" s="37" t="s">
        <v>576</v>
      </c>
      <c r="C13" s="8" t="s">
        <v>422</v>
      </c>
      <c r="D13" s="38" t="str">
        <f t="shared" si="0"/>
        <v>TRANSPORT-CSE_NGOUSSO_LIGNE_HTB_D.Ligne 90kV OYOMABANG_NGOUSSO</v>
      </c>
      <c r="E13" s="4"/>
    </row>
    <row r="14" spans="1:5" ht="25.5">
      <c r="A14" s="19" t="s">
        <v>509</v>
      </c>
      <c r="B14" s="37" t="s">
        <v>576</v>
      </c>
      <c r="C14" s="8" t="s">
        <v>423</v>
      </c>
      <c r="D14" s="38" t="str">
        <f t="shared" si="0"/>
        <v>TRANSPORT-CSE_NGOUSSO_LIGNE_HTB_D.Ligne 90kV NGOUSSO_KONDENGUI</v>
      </c>
      <c r="E14" s="4"/>
    </row>
    <row r="15" spans="1:5" ht="22.5">
      <c r="A15" s="19" t="s">
        <v>509</v>
      </c>
      <c r="B15" s="37" t="s">
        <v>577</v>
      </c>
      <c r="C15" s="8" t="s">
        <v>427</v>
      </c>
      <c r="D15" s="38" t="str">
        <f t="shared" si="0"/>
        <v>TRANSPORT-CSE_KONDENGUI_POSTE SOURCE_HTB_AT  90/15kV</v>
      </c>
      <c r="E15" s="4"/>
    </row>
    <row r="16" spans="1:5" ht="22.5">
      <c r="A16" s="19" t="s">
        <v>509</v>
      </c>
      <c r="B16" s="37" t="s">
        <v>577</v>
      </c>
      <c r="C16" s="8" t="s">
        <v>355</v>
      </c>
      <c r="D16" s="38" t="str">
        <f t="shared" si="0"/>
        <v>TRANSPORT-CSE_KONDENGUI_POSTE SOURCE_HTB_Jeu de barres 90kV</v>
      </c>
      <c r="E16" s="4"/>
    </row>
    <row r="17" spans="1:5" ht="25.5">
      <c r="A17" s="19" t="s">
        <v>509</v>
      </c>
      <c r="B17" s="37" t="s">
        <v>577</v>
      </c>
      <c r="C17" s="8" t="s">
        <v>478</v>
      </c>
      <c r="D17" s="38" t="str">
        <f t="shared" si="0"/>
        <v>TRANSPORT-CSE_KONDENGUI_POSTE SOURCE_HTB_Appareillages Protection 90kV et Auxiliaires</v>
      </c>
      <c r="E17" s="4"/>
    </row>
    <row r="18" spans="1:5" ht="22.5">
      <c r="A18" s="19" t="s">
        <v>509</v>
      </c>
      <c r="B18" s="37" t="s">
        <v>578</v>
      </c>
      <c r="C18" s="8" t="s">
        <v>427</v>
      </c>
      <c r="D18" s="38" t="str">
        <f t="shared" si="0"/>
        <v>TRANSPORT-CSE_AHALA_POSTE SOURCE_HTB_AT  90/15kV</v>
      </c>
      <c r="E18" s="4"/>
    </row>
    <row r="19" spans="1:5" ht="22.5">
      <c r="A19" s="19" t="s">
        <v>509</v>
      </c>
      <c r="B19" s="37" t="s">
        <v>578</v>
      </c>
      <c r="C19" s="8" t="s">
        <v>355</v>
      </c>
      <c r="D19" s="38" t="str">
        <f t="shared" si="0"/>
        <v>TRANSPORT-CSE_AHALA_POSTE SOURCE_HTB_Jeu de barres 90kV</v>
      </c>
      <c r="E19" s="4"/>
    </row>
    <row r="20" spans="1:5" ht="25.5">
      <c r="A20" s="19" t="s">
        <v>509</v>
      </c>
      <c r="B20" s="37" t="s">
        <v>578</v>
      </c>
      <c r="C20" s="8" t="s">
        <v>478</v>
      </c>
      <c r="D20" s="38" t="str">
        <f t="shared" si="0"/>
        <v>TRANSPORT-CSE_AHALA_POSTE SOURCE_HTB_Appareillages Protection 90kV et Auxiliaires</v>
      </c>
      <c r="E20" s="4"/>
    </row>
    <row r="21" spans="1:5" ht="22.5">
      <c r="A21" s="19" t="s">
        <v>509</v>
      </c>
      <c r="B21" s="37" t="s">
        <v>579</v>
      </c>
      <c r="C21" s="8" t="s">
        <v>428</v>
      </c>
      <c r="D21" s="38" t="str">
        <f t="shared" si="0"/>
        <v>TRANSPORT-CSE_AHALA_LIGNE_HTB_D.Ligne 90kV OYOMABANG_AHALA</v>
      </c>
      <c r="E21" s="4"/>
    </row>
    <row r="22" spans="1:5" ht="22.5">
      <c r="A22" s="19" t="s">
        <v>509</v>
      </c>
      <c r="B22" s="37" t="s">
        <v>580</v>
      </c>
      <c r="C22" s="8" t="s">
        <v>427</v>
      </c>
      <c r="D22" s="38" t="str">
        <f t="shared" si="0"/>
        <v>TRANSPORT-CSE_NSIMALEN_POSTE SOURCE_HTB_AT  90/15kV</v>
      </c>
      <c r="E22" s="4"/>
    </row>
    <row r="23" spans="1:5" ht="22.5">
      <c r="A23" s="19" t="s">
        <v>509</v>
      </c>
      <c r="B23" s="37" t="s">
        <v>580</v>
      </c>
      <c r="C23" s="8" t="s">
        <v>355</v>
      </c>
      <c r="D23" s="38" t="str">
        <f t="shared" si="0"/>
        <v>TRANSPORT-CSE_NSIMALEN_POSTE SOURCE_HTB_Jeu de barres 90kV</v>
      </c>
      <c r="E23" s="4"/>
    </row>
    <row r="24" spans="1:5" ht="25.5">
      <c r="A24" s="19" t="s">
        <v>509</v>
      </c>
      <c r="B24" s="37" t="s">
        <v>580</v>
      </c>
      <c r="C24" s="8" t="s">
        <v>478</v>
      </c>
      <c r="D24" s="38" t="str">
        <f t="shared" si="0"/>
        <v>TRANSPORT-CSE_NSIMALEN_POSTE SOURCE_HTB_Appareillages Protection 90kV et Auxiliaires</v>
      </c>
      <c r="E24" s="4"/>
    </row>
    <row r="25" spans="1:5" ht="22.5">
      <c r="A25" s="19" t="s">
        <v>509</v>
      </c>
      <c r="B25" s="37" t="s">
        <v>581</v>
      </c>
      <c r="C25" s="8" t="s">
        <v>429</v>
      </c>
      <c r="D25" s="38" t="str">
        <f t="shared" si="0"/>
        <v>TRANSPORT-CSE_NSIMALEN_LIGNE_HTB_D.Ligne 90kV AHALA_NSIMALEN</v>
      </c>
      <c r="E25" s="4"/>
    </row>
    <row r="26" spans="1:5" ht="22.5">
      <c r="A26" s="19" t="s">
        <v>509</v>
      </c>
      <c r="B26" s="37" t="s">
        <v>582</v>
      </c>
      <c r="C26" s="8" t="s">
        <v>487</v>
      </c>
      <c r="D26" s="38" t="str">
        <f t="shared" si="0"/>
        <v>TRANSPORT-CSE_NOMAYOS_POSTE SOURCE_HTB_AT  90/30kV</v>
      </c>
      <c r="E26" s="4"/>
    </row>
    <row r="27" spans="1:5" ht="22.5">
      <c r="A27" s="19" t="s">
        <v>509</v>
      </c>
      <c r="B27" s="37" t="s">
        <v>582</v>
      </c>
      <c r="C27" s="8" t="s">
        <v>355</v>
      </c>
      <c r="D27" s="38" t="str">
        <f t="shared" si="0"/>
        <v>TRANSPORT-CSE_NOMAYOS_POSTE SOURCE_HTB_Jeu de barres 90kV</v>
      </c>
      <c r="E27" s="4"/>
    </row>
    <row r="28" spans="1:5" ht="25.5">
      <c r="A28" s="19" t="s">
        <v>509</v>
      </c>
      <c r="B28" s="37" t="s">
        <v>582</v>
      </c>
      <c r="C28" s="8" t="s">
        <v>478</v>
      </c>
      <c r="D28" s="38" t="str">
        <f t="shared" si="0"/>
        <v>TRANSPORT-CSE_NOMAYOS_POSTE SOURCE_HTB_Appareillages Protection 90kV et Auxiliaires</v>
      </c>
      <c r="E28" s="4"/>
    </row>
    <row r="29" spans="1:5" ht="25.5">
      <c r="A29" s="19" t="s">
        <v>509</v>
      </c>
      <c r="B29" s="37" t="s">
        <v>583</v>
      </c>
      <c r="C29" s="8" t="s">
        <v>430</v>
      </c>
      <c r="D29" s="38" t="str">
        <f t="shared" si="0"/>
        <v>TRANSPORT-CSE_NOMAYOS_LIGNE_HTB_D.Ligne 90kV OYOMABANG-NOMAYOS</v>
      </c>
      <c r="E29" s="4"/>
    </row>
    <row r="30" spans="1:5" ht="22.5">
      <c r="A30" s="19" t="s">
        <v>509</v>
      </c>
      <c r="B30" s="37" t="s">
        <v>584</v>
      </c>
      <c r="C30" s="8" t="s">
        <v>431</v>
      </c>
      <c r="D30" s="38" t="str">
        <f t="shared" si="0"/>
        <v>TRANSPORT-CSE_OYOMABANG_POSTE SOURCE_HTB_AT N°1  225/90kV</v>
      </c>
      <c r="E30" s="4"/>
    </row>
    <row r="31" spans="1:5" ht="22.5">
      <c r="A31" s="19" t="s">
        <v>509</v>
      </c>
      <c r="B31" s="37" t="s">
        <v>584</v>
      </c>
      <c r="C31" s="8" t="s">
        <v>432</v>
      </c>
      <c r="D31" s="38" t="str">
        <f t="shared" si="0"/>
        <v>TRANSPORT-CSE_OYOMABANG_POSTE SOURCE_HTB_AT N°2  225/90kV</v>
      </c>
      <c r="E31" s="4"/>
    </row>
    <row r="32" spans="1:5" ht="22.5">
      <c r="A32" s="19" t="s">
        <v>509</v>
      </c>
      <c r="B32" s="37" t="s">
        <v>584</v>
      </c>
      <c r="C32" s="8" t="s">
        <v>433</v>
      </c>
      <c r="D32" s="38" t="str">
        <f t="shared" si="0"/>
        <v>TRANSPORT-CSE_OYOMABANG_POSTE SOURCE_HTB_Jeu de barres 225 kV</v>
      </c>
      <c r="E32" s="4"/>
    </row>
    <row r="33" spans="1:5" ht="22.5">
      <c r="A33" s="19" t="s">
        <v>509</v>
      </c>
      <c r="B33" s="37" t="s">
        <v>584</v>
      </c>
      <c r="C33" s="8" t="s">
        <v>434</v>
      </c>
      <c r="D33" s="38" t="str">
        <f t="shared" si="0"/>
        <v xml:space="preserve">TRANSPORT-CSE_OYOMABANG_POSTE SOURCE_HTB_Jeu de barres 90kV </v>
      </c>
      <c r="E33" s="4"/>
    </row>
    <row r="34" spans="1:5" ht="25.5">
      <c r="A34" s="19" t="s">
        <v>509</v>
      </c>
      <c r="B34" s="37" t="s">
        <v>584</v>
      </c>
      <c r="C34" s="8" t="s">
        <v>478</v>
      </c>
      <c r="D34" s="38" t="str">
        <f t="shared" si="0"/>
        <v>TRANSPORT-CSE_OYOMABANG_POSTE SOURCE_HTB_Appareillages Protection 90kV et Auxiliaires</v>
      </c>
      <c r="E34" s="4"/>
    </row>
    <row r="35" spans="1:5" ht="25.5">
      <c r="A35" s="19" t="s">
        <v>509</v>
      </c>
      <c r="B35" s="37" t="s">
        <v>584</v>
      </c>
      <c r="C35" s="8" t="s">
        <v>479</v>
      </c>
      <c r="D35" s="38" t="str">
        <f t="shared" si="0"/>
        <v>TRANSPORT-CSE_OYOMABANG_POSTE SOURCE_HTB_Appareillages Protection 225kV et Auxiliaires</v>
      </c>
      <c r="E35" s="4"/>
    </row>
    <row r="36" spans="1:5" ht="25.5">
      <c r="A36" s="19" t="s">
        <v>509</v>
      </c>
      <c r="B36" s="37" t="s">
        <v>585</v>
      </c>
      <c r="C36" s="8" t="s">
        <v>435</v>
      </c>
      <c r="D36" s="38" t="str">
        <f t="shared" si="0"/>
        <v>TRANSPORT-CSE_OYOMABANG_LIGNE_HTB_D.Ligne 225kV MANGOMBE-OYOMABANG</v>
      </c>
      <c r="E36" s="4"/>
    </row>
    <row r="37" spans="1:5" ht="22.5">
      <c r="A37" s="19" t="s">
        <v>509</v>
      </c>
      <c r="B37" s="37" t="s">
        <v>586</v>
      </c>
      <c r="C37" s="30" t="s">
        <v>494</v>
      </c>
      <c r="D37" s="38" t="str">
        <f t="shared" si="0"/>
        <v>TRANSPORT-CSE_NYOM II_POSTE SOURCE_HTB_AT N°1  225/15kV</v>
      </c>
      <c r="E37" s="4"/>
    </row>
    <row r="38" spans="1:5" ht="22.5">
      <c r="A38" s="19" t="s">
        <v>509</v>
      </c>
      <c r="B38" s="37" t="s">
        <v>586</v>
      </c>
      <c r="C38" s="30" t="s">
        <v>442</v>
      </c>
      <c r="D38" s="38" t="str">
        <f t="shared" si="0"/>
        <v>TRANSPORT-CSE_NYOM II_POSTE SOURCE_HTB_Jeu de barres 225kV</v>
      </c>
      <c r="E38" s="4"/>
    </row>
    <row r="39" spans="1:5" ht="25.5">
      <c r="A39" s="19" t="s">
        <v>509</v>
      </c>
      <c r="B39" s="37" t="s">
        <v>586</v>
      </c>
      <c r="C39" s="30" t="s">
        <v>479</v>
      </c>
      <c r="D39" s="38" t="str">
        <f t="shared" si="0"/>
        <v>TRANSPORT-CSE_NYOM II_POSTE SOURCE_HTB_Appareillages Protection 225kV et Auxiliaires</v>
      </c>
      <c r="E39" s="4"/>
    </row>
    <row r="40" spans="1:5" ht="22.5">
      <c r="A40" s="19" t="s">
        <v>509</v>
      </c>
      <c r="B40" s="37" t="s">
        <v>587</v>
      </c>
      <c r="C40" s="8" t="s">
        <v>467</v>
      </c>
      <c r="D40" s="38" t="str">
        <f t="shared" si="0"/>
        <v>TRANSPORT-CSE_NYOM II_LIGNE_HTB_D.Ligne 225 kV  NATCHIGAL-NYOM II</v>
      </c>
      <c r="E40" s="4"/>
    </row>
    <row r="41" spans="1:5" ht="25.5">
      <c r="A41" s="19" t="s">
        <v>509</v>
      </c>
      <c r="B41" s="37" t="s">
        <v>587</v>
      </c>
      <c r="C41" s="8" t="s">
        <v>502</v>
      </c>
      <c r="D41" s="38" t="str">
        <f t="shared" si="0"/>
        <v>TRANSPORT-CSE_NYOM II_LIGNE_HTB_D.Ligne 225 kV  NYOM II-OYOMABANG</v>
      </c>
      <c r="E41" s="4"/>
    </row>
    <row r="42" spans="1:5" ht="22.5">
      <c r="A42" s="19" t="s">
        <v>510</v>
      </c>
      <c r="B42" s="37" t="s">
        <v>588</v>
      </c>
      <c r="C42" s="8" t="s">
        <v>424</v>
      </c>
      <c r="D42" s="38" t="str">
        <f t="shared" si="0"/>
        <v>TRANSPORT-LSO_KOUMASSI_POSTE SOURCE_HTB_AT N°1  90/15kV</v>
      </c>
      <c r="E42" s="4"/>
    </row>
    <row r="43" spans="1:5" ht="22.5">
      <c r="A43" s="19" t="s">
        <v>510</v>
      </c>
      <c r="B43" s="37" t="s">
        <v>588</v>
      </c>
      <c r="C43" s="8" t="s">
        <v>425</v>
      </c>
      <c r="D43" s="38" t="str">
        <f t="shared" si="0"/>
        <v>TRANSPORT-LSO_KOUMASSI_POSTE SOURCE_HTB_AT N°2  90/15kV</v>
      </c>
      <c r="E43" s="4"/>
    </row>
    <row r="44" spans="1:5" ht="22.5">
      <c r="A44" s="19" t="s">
        <v>510</v>
      </c>
      <c r="B44" s="37" t="s">
        <v>588</v>
      </c>
      <c r="C44" s="8" t="s">
        <v>355</v>
      </c>
      <c r="D44" s="38" t="str">
        <f t="shared" si="0"/>
        <v>TRANSPORT-LSO_KOUMASSI_POSTE SOURCE_HTB_Jeu de barres 90kV</v>
      </c>
      <c r="E44" s="4"/>
    </row>
    <row r="45" spans="1:5" ht="25.5">
      <c r="A45" s="19" t="s">
        <v>510</v>
      </c>
      <c r="B45" s="37" t="s">
        <v>588</v>
      </c>
      <c r="C45" s="8" t="s">
        <v>478</v>
      </c>
      <c r="D45" s="38" t="str">
        <f t="shared" si="0"/>
        <v>TRANSPORT-LSO_KOUMASSI_POSTE SOURCE_HTB_Appareillages Protection 90kV et Auxiliaires</v>
      </c>
      <c r="E45" s="4"/>
    </row>
    <row r="46" spans="1:5" ht="22.5">
      <c r="A46" s="19" t="s">
        <v>510</v>
      </c>
      <c r="B46" s="37" t="s">
        <v>589</v>
      </c>
      <c r="C46" s="8" t="s">
        <v>436</v>
      </c>
      <c r="D46" s="38" t="str">
        <f t="shared" si="0"/>
        <v>TRANSPORT-LSO_KOUMASSI_LIGNE_HTB_D.Ligne 90kV LOGBABA-KOUMASSI</v>
      </c>
      <c r="E46" s="4"/>
    </row>
    <row r="47" spans="1:5" ht="22.5">
      <c r="A47" s="19" t="s">
        <v>510</v>
      </c>
      <c r="B47" s="37" t="s">
        <v>590</v>
      </c>
      <c r="C47" s="8" t="s">
        <v>424</v>
      </c>
      <c r="D47" s="38" t="str">
        <f t="shared" si="0"/>
        <v>TRANSPORT-LSO_BEKOKO_POSTE SOURCE_HTB_AT N°1  90/15kV</v>
      </c>
      <c r="E47" s="4"/>
    </row>
    <row r="48" spans="1:5" ht="22.5">
      <c r="A48" s="19" t="s">
        <v>510</v>
      </c>
      <c r="B48" s="37" t="s">
        <v>590</v>
      </c>
      <c r="C48" s="8" t="s">
        <v>425</v>
      </c>
      <c r="D48" s="38" t="str">
        <f t="shared" si="0"/>
        <v>TRANSPORT-LSO_BEKOKO_POSTE SOURCE_HTB_AT N°2  90/15kV</v>
      </c>
      <c r="E48" s="4"/>
    </row>
    <row r="49" spans="1:5" ht="22.5">
      <c r="A49" s="19" t="s">
        <v>510</v>
      </c>
      <c r="B49" s="37" t="s">
        <v>590</v>
      </c>
      <c r="C49" s="8" t="s">
        <v>355</v>
      </c>
      <c r="D49" s="38" t="str">
        <f t="shared" si="0"/>
        <v>TRANSPORT-LSO_BEKOKO_POSTE SOURCE_HTB_Jeu de barres 90kV</v>
      </c>
      <c r="E49" s="4"/>
    </row>
    <row r="50" spans="1:5" ht="25.5">
      <c r="A50" s="19" t="s">
        <v>510</v>
      </c>
      <c r="B50" s="37" t="s">
        <v>590</v>
      </c>
      <c r="C50" s="8" t="s">
        <v>478</v>
      </c>
      <c r="D50" s="38" t="str">
        <f t="shared" si="0"/>
        <v>TRANSPORT-LSO_BEKOKO_POSTE SOURCE_HTB_Appareillages Protection 90kV et Auxiliaires</v>
      </c>
      <c r="E50" s="4"/>
    </row>
    <row r="51" spans="1:5" ht="22.5">
      <c r="A51" s="19" t="s">
        <v>510</v>
      </c>
      <c r="B51" s="37" t="s">
        <v>591</v>
      </c>
      <c r="C51" s="8" t="s">
        <v>437</v>
      </c>
      <c r="D51" s="38" t="str">
        <f t="shared" si="0"/>
        <v>TRANSPORT-LSO_BEKOKO_LIGNE_HTB_D.Ligne 90kV BONABERI-BEKOKO</v>
      </c>
      <c r="E51" s="4"/>
    </row>
    <row r="52" spans="1:5" ht="22.5">
      <c r="A52" s="19" t="s">
        <v>510</v>
      </c>
      <c r="B52" s="37" t="s">
        <v>592</v>
      </c>
      <c r="C52" s="8" t="s">
        <v>424</v>
      </c>
      <c r="D52" s="38" t="str">
        <f t="shared" si="0"/>
        <v>TRANSPORT-LSO_BONABERI_POSTE SOURCE_HTB_AT N°1  90/15kV</v>
      </c>
      <c r="E52" s="4"/>
    </row>
    <row r="53" spans="1:5" ht="22.5">
      <c r="A53" s="19" t="s">
        <v>510</v>
      </c>
      <c r="B53" s="37" t="s">
        <v>592</v>
      </c>
      <c r="C53" s="8" t="s">
        <v>425</v>
      </c>
      <c r="D53" s="38" t="str">
        <f t="shared" si="0"/>
        <v>TRANSPORT-LSO_BONABERI_POSTE SOURCE_HTB_AT N°2  90/15kV</v>
      </c>
      <c r="E53" s="4"/>
    </row>
    <row r="54" spans="1:5" ht="22.5">
      <c r="A54" s="19" t="s">
        <v>510</v>
      </c>
      <c r="B54" s="37" t="s">
        <v>592</v>
      </c>
      <c r="C54" s="8" t="s">
        <v>355</v>
      </c>
      <c r="D54" s="38" t="str">
        <f t="shared" si="0"/>
        <v>TRANSPORT-LSO_BONABERI_POSTE SOURCE_HTB_Jeu de barres 90kV</v>
      </c>
      <c r="E54" s="4"/>
    </row>
    <row r="55" spans="1:5" ht="25.5">
      <c r="A55" s="19" t="s">
        <v>510</v>
      </c>
      <c r="B55" s="37" t="s">
        <v>592</v>
      </c>
      <c r="C55" s="8" t="s">
        <v>478</v>
      </c>
      <c r="D55" s="38" t="str">
        <f t="shared" si="0"/>
        <v>TRANSPORT-LSO_BONABERI_POSTE SOURCE_HTB_Appareillages Protection 90kV et Auxiliaires</v>
      </c>
      <c r="E55" s="4"/>
    </row>
    <row r="56" spans="1:5" ht="22.5">
      <c r="A56" s="19" t="s">
        <v>510</v>
      </c>
      <c r="B56" s="37" t="s">
        <v>593</v>
      </c>
      <c r="C56" s="8" t="s">
        <v>438</v>
      </c>
      <c r="D56" s="38" t="str">
        <f t="shared" si="0"/>
        <v>TRANSPORT-LSO_BONABERI_LIGNE_HTB_D.Ligne 90kV DEIDO-BONABERI</v>
      </c>
      <c r="E56" s="4"/>
    </row>
    <row r="57" spans="1:5" ht="22.5">
      <c r="A57" s="19" t="s">
        <v>510</v>
      </c>
      <c r="B57" s="37" t="s">
        <v>594</v>
      </c>
      <c r="C57" s="8" t="s">
        <v>424</v>
      </c>
      <c r="D57" s="38" t="str">
        <f t="shared" si="0"/>
        <v>TRANSPORT-LSO_DEIDO_POSTE SOURCE_HTB_AT N°1  90/15kV</v>
      </c>
      <c r="E57" s="4"/>
    </row>
    <row r="58" spans="1:5" ht="22.5">
      <c r="A58" s="19" t="s">
        <v>510</v>
      </c>
      <c r="B58" s="37" t="s">
        <v>594</v>
      </c>
      <c r="C58" s="8" t="s">
        <v>425</v>
      </c>
      <c r="D58" s="38" t="str">
        <f t="shared" si="0"/>
        <v>TRANSPORT-LSO_DEIDO_POSTE SOURCE_HTB_AT N°2  90/15kV</v>
      </c>
      <c r="E58" s="4"/>
    </row>
    <row r="59" spans="1:5" ht="22.5">
      <c r="A59" s="19" t="s">
        <v>510</v>
      </c>
      <c r="B59" s="37" t="s">
        <v>594</v>
      </c>
      <c r="C59" s="8" t="s">
        <v>355</v>
      </c>
      <c r="D59" s="38" t="str">
        <f t="shared" si="0"/>
        <v>TRANSPORT-LSO_DEIDO_POSTE SOURCE_HTB_Jeu de barres 90kV</v>
      </c>
      <c r="E59" s="4"/>
    </row>
    <row r="60" spans="1:5" ht="25.5">
      <c r="A60" s="19" t="s">
        <v>510</v>
      </c>
      <c r="B60" s="37" t="s">
        <v>594</v>
      </c>
      <c r="C60" s="8" t="s">
        <v>478</v>
      </c>
      <c r="D60" s="38" t="str">
        <f t="shared" si="0"/>
        <v>TRANSPORT-LSO_DEIDO_POSTE SOURCE_HTB_Appareillages Protection 90kV et Auxiliaires</v>
      </c>
      <c r="E60" s="4"/>
    </row>
    <row r="61" spans="1:5" ht="22.5">
      <c r="A61" s="19" t="s">
        <v>510</v>
      </c>
      <c r="B61" s="37" t="s">
        <v>595</v>
      </c>
      <c r="C61" s="8" t="s">
        <v>439</v>
      </c>
      <c r="D61" s="38" t="str">
        <f t="shared" si="0"/>
        <v>TRANSPORT-LSO_DEIDO_LIGNE_HTB_D.Ligne 90kV BASSA-DEIDO</v>
      </c>
      <c r="E61" s="4"/>
    </row>
    <row r="62" spans="1:5" ht="22.5">
      <c r="A62" s="19" t="s">
        <v>510</v>
      </c>
      <c r="B62" s="37" t="s">
        <v>596</v>
      </c>
      <c r="C62" s="8" t="s">
        <v>424</v>
      </c>
      <c r="D62" s="38" t="str">
        <f t="shared" si="0"/>
        <v>TRANSPORT-LSO_MAKEPE_POSTE SOURCE_HTB_AT N°1  90/15kV</v>
      </c>
      <c r="E62" s="4"/>
    </row>
    <row r="63" spans="1:5" ht="22.5">
      <c r="A63" s="19" t="s">
        <v>510</v>
      </c>
      <c r="B63" s="37" t="s">
        <v>596</v>
      </c>
      <c r="C63" s="8" t="s">
        <v>425</v>
      </c>
      <c r="D63" s="38" t="str">
        <f t="shared" si="0"/>
        <v>TRANSPORT-LSO_MAKEPE_POSTE SOURCE_HTB_AT N°2  90/15kV</v>
      </c>
      <c r="E63" s="4"/>
    </row>
    <row r="64" spans="1:5" ht="22.5">
      <c r="A64" s="19" t="s">
        <v>510</v>
      </c>
      <c r="B64" s="37" t="s">
        <v>596</v>
      </c>
      <c r="C64" s="8" t="s">
        <v>355</v>
      </c>
      <c r="D64" s="38" t="str">
        <f t="shared" si="0"/>
        <v>TRANSPORT-LSO_MAKEPE_POSTE SOURCE_HTB_Jeu de barres 90kV</v>
      </c>
      <c r="E64" s="4"/>
    </row>
    <row r="65" spans="1:5" ht="25.5">
      <c r="A65" s="19" t="s">
        <v>510</v>
      </c>
      <c r="B65" s="37" t="s">
        <v>596</v>
      </c>
      <c r="C65" s="8" t="s">
        <v>478</v>
      </c>
      <c r="D65" s="38" t="str">
        <f t="shared" si="0"/>
        <v>TRANSPORT-LSO_MAKEPE_POSTE SOURCE_HTB_Appareillages Protection 90kV et Auxiliaires</v>
      </c>
      <c r="E65" s="4"/>
    </row>
    <row r="66" spans="1:5" ht="22.5">
      <c r="A66" s="19" t="s">
        <v>510</v>
      </c>
      <c r="B66" s="37" t="s">
        <v>597</v>
      </c>
      <c r="C66" s="8" t="s">
        <v>440</v>
      </c>
      <c r="D66" s="38" t="str">
        <f t="shared" si="0"/>
        <v>TRANSPORT-LSO_MAKEPE_LIGNE_HTB_D.Ligne 90kV BASSA-MAKEPE</v>
      </c>
      <c r="E66" s="4"/>
    </row>
    <row r="67" spans="1:5" ht="22.5">
      <c r="A67" s="19" t="s">
        <v>510</v>
      </c>
      <c r="B67" s="37" t="s">
        <v>598</v>
      </c>
      <c r="C67" s="8" t="s">
        <v>424</v>
      </c>
      <c r="D67" s="38" t="str">
        <f t="shared" si="0"/>
        <v>TRANSPORT-LSO_NGODI BAKOKO_POSTE SOURCE_HTB_AT N°1  90/15kV</v>
      </c>
      <c r="E67" s="4"/>
    </row>
    <row r="68" spans="1:5" ht="22.5">
      <c r="A68" s="19" t="s">
        <v>510</v>
      </c>
      <c r="B68" s="37" t="s">
        <v>598</v>
      </c>
      <c r="C68" s="8" t="s">
        <v>425</v>
      </c>
      <c r="D68" s="38" t="str">
        <f t="shared" ref="D68:D131" si="1">A68&amp;"_"&amp;B68&amp;"_"&amp;C68</f>
        <v>TRANSPORT-LSO_NGODI BAKOKO_POSTE SOURCE_HTB_AT N°2  90/15kV</v>
      </c>
      <c r="E68" s="4"/>
    </row>
    <row r="69" spans="1:5" ht="22.5">
      <c r="A69" s="19" t="s">
        <v>510</v>
      </c>
      <c r="B69" s="37" t="s">
        <v>598</v>
      </c>
      <c r="C69" s="8" t="s">
        <v>355</v>
      </c>
      <c r="D69" s="38" t="str">
        <f t="shared" si="1"/>
        <v>TRANSPORT-LSO_NGODI BAKOKO_POSTE SOURCE_HTB_Jeu de barres 90kV</v>
      </c>
      <c r="E69" s="4"/>
    </row>
    <row r="70" spans="1:5" ht="25.5">
      <c r="A70" s="19" t="s">
        <v>510</v>
      </c>
      <c r="B70" s="37" t="s">
        <v>598</v>
      </c>
      <c r="C70" s="8" t="s">
        <v>478</v>
      </c>
      <c r="D70" s="38" t="str">
        <f t="shared" si="1"/>
        <v>TRANSPORT-LSO_NGODI BAKOKO_POSTE SOURCE_HTB_Appareillages Protection 90kV et Auxiliaires</v>
      </c>
      <c r="E70" s="4"/>
    </row>
    <row r="71" spans="1:5" ht="25.5">
      <c r="A71" s="19" t="s">
        <v>510</v>
      </c>
      <c r="B71" s="37" t="s">
        <v>599</v>
      </c>
      <c r="C71" s="8" t="s">
        <v>441</v>
      </c>
      <c r="D71" s="38" t="str">
        <f t="shared" si="1"/>
        <v>TRANSPORT-LSO_NGODI BAKOKO_LIGNE_HTB_D.Ligne 90kV LOGBABA-NGODI BAKOKO</v>
      </c>
      <c r="E71" s="4"/>
    </row>
    <row r="72" spans="1:5" ht="22.5">
      <c r="A72" s="19" t="s">
        <v>510</v>
      </c>
      <c r="B72" s="37" t="s">
        <v>600</v>
      </c>
      <c r="C72" s="8" t="s">
        <v>431</v>
      </c>
      <c r="D72" s="38" t="str">
        <f t="shared" si="1"/>
        <v>TRANSPORT-LSO_LOGBABA_POSTE SOURCE_HTB_AT N°1  225/90kV</v>
      </c>
      <c r="E72" s="4"/>
    </row>
    <row r="73" spans="1:5" ht="22.5">
      <c r="A73" s="19" t="s">
        <v>510</v>
      </c>
      <c r="B73" s="37" t="s">
        <v>600</v>
      </c>
      <c r="C73" s="8" t="s">
        <v>432</v>
      </c>
      <c r="D73" s="38" t="str">
        <f t="shared" si="1"/>
        <v>TRANSPORT-LSO_LOGBABA_POSTE SOURCE_HTB_AT N°2  225/90kV</v>
      </c>
      <c r="E73" s="4"/>
    </row>
    <row r="74" spans="1:5" ht="22.5">
      <c r="A74" s="19" t="s">
        <v>510</v>
      </c>
      <c r="B74" s="37" t="s">
        <v>600</v>
      </c>
      <c r="C74" s="8" t="s">
        <v>426</v>
      </c>
      <c r="D74" s="38" t="str">
        <f t="shared" si="1"/>
        <v>TRANSPORT-LSO_LOGBABA_POSTE SOURCE_HTB_AT N°3  90/15kV</v>
      </c>
      <c r="E74" s="4"/>
    </row>
    <row r="75" spans="1:5" ht="22.5">
      <c r="A75" s="19" t="s">
        <v>510</v>
      </c>
      <c r="B75" s="37" t="s">
        <v>600</v>
      </c>
      <c r="C75" s="8" t="s">
        <v>355</v>
      </c>
      <c r="D75" s="38" t="str">
        <f t="shared" si="1"/>
        <v>TRANSPORT-LSO_LOGBABA_POSTE SOURCE_HTB_Jeu de barres 90kV</v>
      </c>
      <c r="E75" s="4"/>
    </row>
    <row r="76" spans="1:5" ht="22.5">
      <c r="A76" s="19" t="s">
        <v>510</v>
      </c>
      <c r="B76" s="37" t="s">
        <v>600</v>
      </c>
      <c r="C76" s="8" t="s">
        <v>442</v>
      </c>
      <c r="D76" s="38" t="str">
        <f t="shared" si="1"/>
        <v>TRANSPORT-LSO_LOGBABA_POSTE SOURCE_HTB_Jeu de barres 225kV</v>
      </c>
      <c r="E76" s="4"/>
    </row>
    <row r="77" spans="1:5" ht="25.5">
      <c r="A77" s="19" t="s">
        <v>510</v>
      </c>
      <c r="B77" s="37" t="s">
        <v>600</v>
      </c>
      <c r="C77" s="8" t="s">
        <v>479</v>
      </c>
      <c r="D77" s="38" t="str">
        <f t="shared" si="1"/>
        <v>TRANSPORT-LSO_LOGBABA_POSTE SOURCE_HTB_Appareillages Protection 225kV et Auxiliaires</v>
      </c>
      <c r="E77" s="4"/>
    </row>
    <row r="78" spans="1:5" ht="25.5">
      <c r="A78" s="19" t="s">
        <v>510</v>
      </c>
      <c r="B78" s="37" t="s">
        <v>600</v>
      </c>
      <c r="C78" s="8" t="s">
        <v>478</v>
      </c>
      <c r="D78" s="38" t="str">
        <f t="shared" si="1"/>
        <v>TRANSPORT-LSO_LOGBABA_POSTE SOURCE_HTB_Appareillages Protection 90kV et Auxiliaires</v>
      </c>
      <c r="E78" s="4"/>
    </row>
    <row r="79" spans="1:5" ht="25.5">
      <c r="A79" s="19" t="s">
        <v>510</v>
      </c>
      <c r="B79" s="37" t="s">
        <v>601</v>
      </c>
      <c r="C79" s="8" t="s">
        <v>443</v>
      </c>
      <c r="D79" s="38" t="str">
        <f t="shared" si="1"/>
        <v>TRANSPORT-LSO_LOGBABA_LIGNE_HTB_D.Ligne 225kV MANGOMBE-LOGBABA</v>
      </c>
      <c r="E79" s="4"/>
    </row>
    <row r="80" spans="1:5" ht="25.5">
      <c r="A80" s="19" t="s">
        <v>510</v>
      </c>
      <c r="B80" s="37" t="s">
        <v>601</v>
      </c>
      <c r="C80" s="8" t="s">
        <v>464</v>
      </c>
      <c r="D80" s="38" t="str">
        <f t="shared" si="1"/>
        <v>TRANSPORT-LSO_LOGBABA_LIGNE_HTB_D.Ligne 225kV SOGLOULOU-LOGBABA</v>
      </c>
      <c r="E80" s="4"/>
    </row>
    <row r="81" spans="1:5" ht="22.5">
      <c r="A81" s="19" t="s">
        <v>510</v>
      </c>
      <c r="B81" s="37" t="s">
        <v>602</v>
      </c>
      <c r="C81" s="8" t="s">
        <v>424</v>
      </c>
      <c r="D81" s="38" t="str">
        <f t="shared" si="1"/>
        <v>TRANSPORT-LSO_BASSA_POSTE SOURCE_HTB_AT N°1  90/15kV</v>
      </c>
      <c r="E81" s="4"/>
    </row>
    <row r="82" spans="1:5" ht="22.5">
      <c r="A82" s="19" t="s">
        <v>510</v>
      </c>
      <c r="B82" s="37" t="s">
        <v>602</v>
      </c>
      <c r="C82" s="8" t="s">
        <v>425</v>
      </c>
      <c r="D82" s="38" t="str">
        <f t="shared" si="1"/>
        <v>TRANSPORT-LSO_BASSA_POSTE SOURCE_HTB_AT N°2  90/15kV</v>
      </c>
      <c r="E82" s="4"/>
    </row>
    <row r="83" spans="1:5" ht="22.5">
      <c r="A83" s="19" t="s">
        <v>510</v>
      </c>
      <c r="B83" s="37" t="s">
        <v>602</v>
      </c>
      <c r="C83" s="8" t="s">
        <v>426</v>
      </c>
      <c r="D83" s="38" t="str">
        <f t="shared" si="1"/>
        <v>TRANSPORT-LSO_BASSA_POSTE SOURCE_HTB_AT N°3  90/15kV</v>
      </c>
      <c r="E83" s="4"/>
    </row>
    <row r="84" spans="1:5" ht="22.5">
      <c r="A84" s="19" t="s">
        <v>510</v>
      </c>
      <c r="B84" s="37" t="s">
        <v>602</v>
      </c>
      <c r="C84" s="8" t="s">
        <v>355</v>
      </c>
      <c r="D84" s="38" t="str">
        <f t="shared" si="1"/>
        <v>TRANSPORT-LSO_BASSA_POSTE SOURCE_HTB_Jeu de barres 90kV</v>
      </c>
      <c r="E84" s="4"/>
    </row>
    <row r="85" spans="1:5" ht="25.5">
      <c r="A85" s="19" t="s">
        <v>510</v>
      </c>
      <c r="B85" s="37" t="s">
        <v>602</v>
      </c>
      <c r="C85" s="8" t="s">
        <v>478</v>
      </c>
      <c r="D85" s="38" t="str">
        <f t="shared" si="1"/>
        <v>TRANSPORT-LSO_BASSA_POSTE SOURCE_HTB_Appareillages Protection 90kV et Auxiliaires</v>
      </c>
      <c r="E85" s="4"/>
    </row>
    <row r="86" spans="1:5" ht="22.5">
      <c r="A86" s="19" t="s">
        <v>510</v>
      </c>
      <c r="B86" s="37" t="s">
        <v>603</v>
      </c>
      <c r="C86" s="8" t="s">
        <v>444</v>
      </c>
      <c r="D86" s="38" t="str">
        <f t="shared" si="1"/>
        <v>TRANSPORT-LSO_BASSA_LIGNE_HTB_D.Ligne 90kV LOGBABA-BASSA</v>
      </c>
      <c r="E86" s="4"/>
    </row>
    <row r="87" spans="1:5" ht="22.5">
      <c r="A87" s="19" t="s">
        <v>511</v>
      </c>
      <c r="B87" s="37" t="s">
        <v>604</v>
      </c>
      <c r="C87" s="8" t="s">
        <v>424</v>
      </c>
      <c r="D87" s="38" t="str">
        <f t="shared" si="1"/>
        <v>TRANSPORT-NEA_MAROUA_POSTE SOURCE_HTB_AT N°1  90/15kV</v>
      </c>
      <c r="E87" s="4"/>
    </row>
    <row r="88" spans="1:5" ht="22.5">
      <c r="A88" s="19" t="s">
        <v>511</v>
      </c>
      <c r="B88" s="37" t="s">
        <v>604</v>
      </c>
      <c r="C88" s="8" t="s">
        <v>488</v>
      </c>
      <c r="D88" s="38" t="str">
        <f t="shared" si="1"/>
        <v>TRANSPORT-NEA_MAROUA_POSTE SOURCE_HTB_AT N°2  90/30kV</v>
      </c>
      <c r="E88" s="4"/>
    </row>
    <row r="89" spans="1:5" ht="22.5">
      <c r="A89" s="19" t="s">
        <v>511</v>
      </c>
      <c r="B89" s="37" t="s">
        <v>604</v>
      </c>
      <c r="C89" s="8" t="s">
        <v>355</v>
      </c>
      <c r="D89" s="38" t="str">
        <f t="shared" si="1"/>
        <v>TRANSPORT-NEA_MAROUA_POSTE SOURCE_HTB_Jeu de barres 90kV</v>
      </c>
      <c r="E89" s="4"/>
    </row>
    <row r="90" spans="1:5" ht="25.5">
      <c r="A90" s="19" t="s">
        <v>511</v>
      </c>
      <c r="B90" s="37" t="s">
        <v>604</v>
      </c>
      <c r="C90" s="8" t="s">
        <v>478</v>
      </c>
      <c r="D90" s="38" t="str">
        <f t="shared" si="1"/>
        <v>TRANSPORT-NEA_MAROUA_POSTE SOURCE_HTB_Appareillages Protection 90kV et Auxiliaires</v>
      </c>
      <c r="E90" s="4"/>
    </row>
    <row r="91" spans="1:5" ht="22.5">
      <c r="A91" s="19" t="s">
        <v>511</v>
      </c>
      <c r="B91" s="37" t="s">
        <v>605</v>
      </c>
      <c r="C91" s="8" t="s">
        <v>446</v>
      </c>
      <c r="D91" s="38" t="str">
        <f t="shared" si="1"/>
        <v>TRANSPORT-NEA_MAROUA_LIGNE_HTB_D.Ligne 110kV GUIDER-MAROUA</v>
      </c>
      <c r="E91" s="4"/>
    </row>
    <row r="92" spans="1:5" ht="22.5">
      <c r="A92" s="19" t="s">
        <v>511</v>
      </c>
      <c r="B92" s="37" t="s">
        <v>606</v>
      </c>
      <c r="C92" s="8" t="s">
        <v>424</v>
      </c>
      <c r="D92" s="38" t="str">
        <f t="shared" si="1"/>
        <v>TRANSPORT-NEA_DJAMBOUTOU_POSTE SOURCE_HTB_AT N°1  90/15kV</v>
      </c>
      <c r="E92" s="4"/>
    </row>
    <row r="93" spans="1:5" ht="22.5">
      <c r="A93" s="19" t="s">
        <v>511</v>
      </c>
      <c r="B93" s="37" t="s">
        <v>606</v>
      </c>
      <c r="C93" s="8" t="s">
        <v>425</v>
      </c>
      <c r="D93" s="38" t="str">
        <f t="shared" si="1"/>
        <v>TRANSPORT-NEA_DJAMBOUTOU_POSTE SOURCE_HTB_AT N°2  90/15kV</v>
      </c>
      <c r="E93" s="4"/>
    </row>
    <row r="94" spans="1:5" ht="22.5">
      <c r="A94" s="19" t="s">
        <v>511</v>
      </c>
      <c r="B94" s="37" t="s">
        <v>606</v>
      </c>
      <c r="C94" s="8" t="s">
        <v>355</v>
      </c>
      <c r="D94" s="38" t="str">
        <f t="shared" si="1"/>
        <v>TRANSPORT-NEA_DJAMBOUTOU_POSTE SOURCE_HTB_Jeu de barres 90kV</v>
      </c>
      <c r="E94" s="4"/>
    </row>
    <row r="95" spans="1:5" ht="25.5">
      <c r="A95" s="19" t="s">
        <v>511</v>
      </c>
      <c r="B95" s="37" t="s">
        <v>606</v>
      </c>
      <c r="C95" s="8" t="s">
        <v>478</v>
      </c>
      <c r="D95" s="38" t="str">
        <f t="shared" si="1"/>
        <v>TRANSPORT-NEA_DJAMBOUTOU_POSTE SOURCE_HTB_Appareillages Protection 90kV et Auxiliaires</v>
      </c>
      <c r="E95" s="4"/>
    </row>
    <row r="96" spans="1:5" ht="22.5">
      <c r="A96" s="19" t="s">
        <v>511</v>
      </c>
      <c r="B96" s="37" t="s">
        <v>607</v>
      </c>
      <c r="C96" s="8" t="s">
        <v>447</v>
      </c>
      <c r="D96" s="38" t="str">
        <f t="shared" si="1"/>
        <v>TRANSPORT-NEA_DJAMBOUTOU_LIGNE_HTB_D.Ligne 110kV LAGDO-DJAMBOUTOU</v>
      </c>
      <c r="E96" s="4"/>
    </row>
    <row r="97" spans="1:5" ht="22.5">
      <c r="A97" s="19" t="s">
        <v>511</v>
      </c>
      <c r="B97" s="37" t="s">
        <v>608</v>
      </c>
      <c r="C97" s="8" t="s">
        <v>449</v>
      </c>
      <c r="D97" s="38" t="str">
        <f t="shared" si="1"/>
        <v>TRANSPORT-NEA_GUIDER_POSTE SOURCE_HTB_AT   90/15kV</v>
      </c>
      <c r="E97" s="4"/>
    </row>
    <row r="98" spans="1:5" ht="22.5">
      <c r="A98" s="19" t="s">
        <v>511</v>
      </c>
      <c r="B98" s="37" t="s">
        <v>608</v>
      </c>
      <c r="C98" s="8" t="s">
        <v>355</v>
      </c>
      <c r="D98" s="38" t="str">
        <f t="shared" si="1"/>
        <v>TRANSPORT-NEA_GUIDER_POSTE SOURCE_HTB_Jeu de barres 90kV</v>
      </c>
      <c r="E98" s="4"/>
    </row>
    <row r="99" spans="1:5" ht="25.5">
      <c r="A99" s="19" t="s">
        <v>511</v>
      </c>
      <c r="B99" s="37" t="s">
        <v>608</v>
      </c>
      <c r="C99" s="8" t="s">
        <v>478</v>
      </c>
      <c r="D99" s="38" t="str">
        <f t="shared" si="1"/>
        <v>TRANSPORT-NEA_GUIDER_POSTE SOURCE_HTB_Appareillages Protection 90kV et Auxiliaires</v>
      </c>
      <c r="E99" s="4"/>
    </row>
    <row r="100" spans="1:5" ht="22.5">
      <c r="A100" s="19" t="s">
        <v>511</v>
      </c>
      <c r="B100" s="37" t="s">
        <v>609</v>
      </c>
      <c r="C100" s="8" t="s">
        <v>450</v>
      </c>
      <c r="D100" s="38" t="str">
        <f t="shared" si="1"/>
        <v>TRANSPORT-NEA_GUIDER_LIGNE_HTB_D.Ligne 110kV DJAMBOUTOU-GUIDER</v>
      </c>
      <c r="E100" s="4"/>
    </row>
    <row r="101" spans="1:5" ht="22.5">
      <c r="A101" s="19" t="s">
        <v>511</v>
      </c>
      <c r="B101" s="37" t="s">
        <v>610</v>
      </c>
      <c r="C101" s="8" t="s">
        <v>445</v>
      </c>
      <c r="D101" s="38" t="str">
        <f t="shared" si="1"/>
        <v>TRANSPORT-NEA_LAGDO_POSTE SOURCE_HTB_Jeu de barres 110kV</v>
      </c>
      <c r="E101" s="4"/>
    </row>
    <row r="102" spans="1:5" ht="25.5">
      <c r="A102" s="19" t="s">
        <v>511</v>
      </c>
      <c r="B102" s="37" t="s">
        <v>610</v>
      </c>
      <c r="C102" s="8" t="s">
        <v>480</v>
      </c>
      <c r="D102" s="38" t="str">
        <f t="shared" si="1"/>
        <v>TRANSPORT-NEA_LAGDO_POSTE SOURCE_HTB_Appareillages Protection 110kV et Auxiliaires</v>
      </c>
      <c r="E102" s="4"/>
    </row>
    <row r="103" spans="1:5" ht="22.5">
      <c r="A103" s="19" t="s">
        <v>511</v>
      </c>
      <c r="B103" s="37" t="s">
        <v>611</v>
      </c>
      <c r="C103" s="8" t="s">
        <v>452</v>
      </c>
      <c r="D103" s="38" t="str">
        <f t="shared" si="1"/>
        <v>TRANSPORT-NEA_NGAOUNDERE_POSTE SOURCE_HTB_AT  110/15kV</v>
      </c>
      <c r="E103" s="4"/>
    </row>
    <row r="104" spans="1:5" ht="22.5">
      <c r="A104" s="19" t="s">
        <v>511</v>
      </c>
      <c r="B104" s="37" t="s">
        <v>611</v>
      </c>
      <c r="C104" s="8" t="s">
        <v>445</v>
      </c>
      <c r="D104" s="38" t="str">
        <f t="shared" si="1"/>
        <v>TRANSPORT-NEA_NGAOUNDERE_POSTE SOURCE_HTB_Jeu de barres 110kV</v>
      </c>
      <c r="E104" s="4"/>
    </row>
    <row r="105" spans="1:5" ht="25.5">
      <c r="A105" s="19" t="s">
        <v>511</v>
      </c>
      <c r="B105" s="37" t="s">
        <v>611</v>
      </c>
      <c r="C105" s="8" t="s">
        <v>480</v>
      </c>
      <c r="D105" s="38" t="str">
        <f t="shared" si="1"/>
        <v>TRANSPORT-NEA_NGAOUNDERE_POSTE SOURCE_HTB_Appareillages Protection 110kV et Auxiliaires</v>
      </c>
      <c r="E105" s="4"/>
    </row>
    <row r="106" spans="1:5" ht="22.5">
      <c r="A106" s="19" t="s">
        <v>511</v>
      </c>
      <c r="B106" s="37" t="s">
        <v>612</v>
      </c>
      <c r="C106" s="8" t="s">
        <v>448</v>
      </c>
      <c r="D106" s="38" t="str">
        <f t="shared" si="1"/>
        <v>TRANSPORT-NEA_NGAOUNDERE_LIGNE_HTB_D.Ligne 110kV LAGDO-NGAOUNDERE</v>
      </c>
      <c r="E106" s="4"/>
    </row>
    <row r="107" spans="1:5" ht="22.5">
      <c r="A107" s="19" t="s">
        <v>509</v>
      </c>
      <c r="B107" s="37" t="s">
        <v>613</v>
      </c>
      <c r="C107" s="8" t="s">
        <v>487</v>
      </c>
      <c r="D107" s="38" t="str">
        <f t="shared" si="1"/>
        <v>TRANSPORT-CSE_DJOB_POSTE SOURCE_HTB_AT  90/30kV</v>
      </c>
      <c r="E107" s="4"/>
    </row>
    <row r="108" spans="1:5" ht="22.5">
      <c r="A108" s="19" t="s">
        <v>509</v>
      </c>
      <c r="B108" s="37" t="s">
        <v>613</v>
      </c>
      <c r="C108" s="8" t="s">
        <v>355</v>
      </c>
      <c r="D108" s="38" t="str">
        <f t="shared" si="1"/>
        <v>TRANSPORT-CSE_DJOB_POSTE SOURCE_HTB_Jeu de barres 90kV</v>
      </c>
      <c r="E108" s="4"/>
    </row>
    <row r="109" spans="1:5" ht="25.5">
      <c r="A109" s="19" t="s">
        <v>509</v>
      </c>
      <c r="B109" s="37" t="s">
        <v>613</v>
      </c>
      <c r="C109" s="8" t="s">
        <v>478</v>
      </c>
      <c r="D109" s="38" t="str">
        <f t="shared" si="1"/>
        <v>TRANSPORT-CSE_DJOB_POSTE SOURCE_HTB_Appareillages Protection 90kV et Auxiliaires</v>
      </c>
      <c r="E109" s="4"/>
    </row>
    <row r="110" spans="1:5" ht="22.5">
      <c r="A110" s="19" t="s">
        <v>509</v>
      </c>
      <c r="B110" s="37" t="s">
        <v>614</v>
      </c>
      <c r="C110" s="8" t="s">
        <v>451</v>
      </c>
      <c r="D110" s="38" t="str">
        <f t="shared" si="1"/>
        <v>TRANSPORT-CSE_DJOB_LIGNE_HTB_D.Ligne 90kV MEMVELE-DJOB</v>
      </c>
      <c r="E110" s="4"/>
    </row>
    <row r="111" spans="1:5" ht="22.5">
      <c r="A111" s="19" t="s">
        <v>509</v>
      </c>
      <c r="B111" s="37" t="s">
        <v>615</v>
      </c>
      <c r="C111" s="8" t="s">
        <v>427</v>
      </c>
      <c r="D111" s="38" t="str">
        <f t="shared" si="1"/>
        <v>TRANSPORT-CSE_EKOMBITIE_POSTE SOURCE_HTB_AT  90/15kV</v>
      </c>
      <c r="E111" s="4"/>
    </row>
    <row r="112" spans="1:5" ht="22.5">
      <c r="A112" s="19" t="s">
        <v>509</v>
      </c>
      <c r="B112" s="37" t="s">
        <v>615</v>
      </c>
      <c r="C112" s="8" t="s">
        <v>355</v>
      </c>
      <c r="D112" s="38" t="str">
        <f t="shared" si="1"/>
        <v>TRANSPORT-CSE_EKOMBITIE_POSTE SOURCE_HTB_Jeu de barres 90kV</v>
      </c>
      <c r="E112" s="4"/>
    </row>
    <row r="113" spans="1:5" ht="25.5">
      <c r="A113" s="19" t="s">
        <v>509</v>
      </c>
      <c r="B113" s="37" t="s">
        <v>615</v>
      </c>
      <c r="C113" s="8" t="s">
        <v>478</v>
      </c>
      <c r="D113" s="38" t="str">
        <f t="shared" si="1"/>
        <v>TRANSPORT-CSE_EKOMBITIE_POSTE SOURCE_HTB_Appareillages Protection 90kV et Auxiliaires</v>
      </c>
      <c r="E113" s="4"/>
    </row>
    <row r="114" spans="1:5" ht="22.5">
      <c r="A114" s="19" t="s">
        <v>509</v>
      </c>
      <c r="B114" s="37" t="s">
        <v>616</v>
      </c>
      <c r="C114" s="8" t="s">
        <v>493</v>
      </c>
      <c r="D114" s="38" t="str">
        <f t="shared" si="1"/>
        <v>TRANSPORT-CSE_EKOMBITIE_LIGNE_HTB_D.Ligne 90kV AHALA-EKOMBITIE</v>
      </c>
      <c r="E114" s="4"/>
    </row>
    <row r="115" spans="1:5" ht="22.5">
      <c r="A115" s="19" t="s">
        <v>218</v>
      </c>
      <c r="B115" s="37" t="s">
        <v>617</v>
      </c>
      <c r="C115" s="8" t="s">
        <v>487</v>
      </c>
      <c r="D115" s="38" t="str">
        <f t="shared" si="1"/>
        <v>TRANSPORT_NDJOCK NKONG_POSTE SOURCE_HTB_AT  90/30kV</v>
      </c>
      <c r="E115" s="4"/>
    </row>
    <row r="116" spans="1:5" ht="22.5">
      <c r="A116" s="19" t="s">
        <v>218</v>
      </c>
      <c r="B116" s="37" t="s">
        <v>617</v>
      </c>
      <c r="C116" s="8" t="s">
        <v>355</v>
      </c>
      <c r="D116" s="38" t="str">
        <f t="shared" si="1"/>
        <v>TRANSPORT_NDJOCK NKONG_POSTE SOURCE_HTB_Jeu de barres 90kV</v>
      </c>
      <c r="E116" s="4"/>
    </row>
    <row r="117" spans="1:5" ht="25.5">
      <c r="A117" s="19" t="s">
        <v>218</v>
      </c>
      <c r="B117" s="37" t="s">
        <v>617</v>
      </c>
      <c r="C117" s="8" t="s">
        <v>478</v>
      </c>
      <c r="D117" s="38" t="str">
        <f t="shared" si="1"/>
        <v>TRANSPORT_NDJOCK NKONG_POSTE SOURCE_HTB_Appareillages Protection 90kV et Auxiliaires</v>
      </c>
      <c r="E117" s="4"/>
    </row>
    <row r="118" spans="1:5" ht="25.5">
      <c r="A118" s="19" t="s">
        <v>218</v>
      </c>
      <c r="B118" s="37" t="s">
        <v>618</v>
      </c>
      <c r="C118" s="8" t="s">
        <v>453</v>
      </c>
      <c r="D118" s="38" t="str">
        <f t="shared" si="1"/>
        <v>TRANSPORT_NDJOCK NKONG_LIGNE_HTB_D.Ligne 90kV C_EDEA-NDJOCK NKONG</v>
      </c>
      <c r="E118" s="4"/>
    </row>
    <row r="119" spans="1:5" ht="25.5">
      <c r="A119" s="19" t="s">
        <v>218</v>
      </c>
      <c r="B119" s="37" t="s">
        <v>618</v>
      </c>
      <c r="C119" s="8" t="s">
        <v>454</v>
      </c>
      <c r="D119" s="38" t="str">
        <f t="shared" si="1"/>
        <v>TRANSPORT_NDJOCK NKONG_LIGNE_HTB_D.Ligne 90kV NDJOCK NKONG-OYOMABANG</v>
      </c>
      <c r="E119" s="4"/>
    </row>
    <row r="120" spans="1:5" ht="22.5">
      <c r="A120" s="19" t="s">
        <v>510</v>
      </c>
      <c r="B120" s="37" t="s">
        <v>619</v>
      </c>
      <c r="C120" s="8" t="s">
        <v>487</v>
      </c>
      <c r="D120" s="38" t="str">
        <f t="shared" si="1"/>
        <v>TRANSPORT-LSO_NJOMBE_POSTE SOURCE_HTB_AT  90/30kV</v>
      </c>
      <c r="E120" s="4"/>
    </row>
    <row r="121" spans="1:5" ht="22.5">
      <c r="A121" s="19" t="s">
        <v>510</v>
      </c>
      <c r="B121" s="37" t="s">
        <v>619</v>
      </c>
      <c r="C121" s="8" t="s">
        <v>355</v>
      </c>
      <c r="D121" s="38" t="str">
        <f t="shared" si="1"/>
        <v>TRANSPORT-LSO_NJOMBE_POSTE SOURCE_HTB_Jeu de barres 90kV</v>
      </c>
      <c r="E121" s="4"/>
    </row>
    <row r="122" spans="1:5" ht="25.5">
      <c r="A122" s="19" t="s">
        <v>510</v>
      </c>
      <c r="B122" s="37" t="s">
        <v>619</v>
      </c>
      <c r="C122" s="8" t="s">
        <v>478</v>
      </c>
      <c r="D122" s="38" t="str">
        <f t="shared" si="1"/>
        <v>TRANSPORT-LSO_NJOMBE_POSTE SOURCE_HTB_Appareillages Protection 90kV et Auxiliaires</v>
      </c>
      <c r="E122" s="4"/>
    </row>
    <row r="123" spans="1:5" ht="22.5">
      <c r="A123" s="19" t="s">
        <v>510</v>
      </c>
      <c r="B123" s="37" t="s">
        <v>620</v>
      </c>
      <c r="C123" s="8" t="s">
        <v>455</v>
      </c>
      <c r="D123" s="38" t="str">
        <f t="shared" si="1"/>
        <v>TRANSPORT-LSO_NJOMBE_LIGNE_HTB_D.Ligne 90kV BEKOKO-NJOMBE</v>
      </c>
      <c r="E123" s="4"/>
    </row>
    <row r="124" spans="1:5" ht="22.5">
      <c r="A124" s="19" t="s">
        <v>510</v>
      </c>
      <c r="B124" s="37" t="s">
        <v>621</v>
      </c>
      <c r="C124" s="8" t="s">
        <v>487</v>
      </c>
      <c r="D124" s="38" t="str">
        <f t="shared" si="1"/>
        <v>TRANSPORT-LSO_NKONGSAMBA_POSTE SOURCE_HTB_AT  90/30kV</v>
      </c>
      <c r="E124" s="4"/>
    </row>
    <row r="125" spans="1:5" ht="22.5">
      <c r="A125" s="19" t="s">
        <v>510</v>
      </c>
      <c r="B125" s="37" t="s">
        <v>621</v>
      </c>
      <c r="C125" s="8" t="s">
        <v>355</v>
      </c>
      <c r="D125" s="38" t="str">
        <f t="shared" si="1"/>
        <v>TRANSPORT-LSO_NKONGSAMBA_POSTE SOURCE_HTB_Jeu de barres 90kV</v>
      </c>
      <c r="E125" s="4"/>
    </row>
    <row r="126" spans="1:5" ht="25.5">
      <c r="A126" s="19" t="s">
        <v>510</v>
      </c>
      <c r="B126" s="37" t="s">
        <v>621</v>
      </c>
      <c r="C126" s="8" t="s">
        <v>478</v>
      </c>
      <c r="D126" s="38" t="str">
        <f t="shared" si="1"/>
        <v>TRANSPORT-LSO_NKONGSAMBA_POSTE SOURCE_HTB_Appareillages Protection 90kV et Auxiliaires</v>
      </c>
      <c r="E126" s="4"/>
    </row>
    <row r="127" spans="1:5" ht="25.5">
      <c r="A127" s="19" t="s">
        <v>510</v>
      </c>
      <c r="B127" s="37" t="s">
        <v>622</v>
      </c>
      <c r="C127" s="8" t="s">
        <v>456</v>
      </c>
      <c r="D127" s="38" t="str">
        <f t="shared" si="1"/>
        <v>TRANSPORT-LSO_NKONGSAMBA_LIGNE_HTB_D.Ligne 90kV NJOMBE-NKONGSAMBA</v>
      </c>
      <c r="E127" s="4"/>
    </row>
    <row r="128" spans="1:5" ht="22.5">
      <c r="A128" s="19" t="s">
        <v>510</v>
      </c>
      <c r="B128" s="37" t="s">
        <v>623</v>
      </c>
      <c r="C128" s="8" t="s">
        <v>487</v>
      </c>
      <c r="D128" s="38" t="str">
        <f t="shared" si="1"/>
        <v>TRANSPORT-LSO_MILE 2 LIMBE_POSTE SOURCE_HTB_AT  90/30kV</v>
      </c>
      <c r="E128" s="4"/>
    </row>
    <row r="129" spans="1:5" ht="22.5">
      <c r="A129" s="19" t="s">
        <v>510</v>
      </c>
      <c r="B129" s="37" t="s">
        <v>623</v>
      </c>
      <c r="C129" s="8" t="s">
        <v>355</v>
      </c>
      <c r="D129" s="38" t="str">
        <f t="shared" si="1"/>
        <v>TRANSPORT-LSO_MILE 2 LIMBE_POSTE SOURCE_HTB_Jeu de barres 90kV</v>
      </c>
      <c r="E129" s="4"/>
    </row>
    <row r="130" spans="1:5" ht="25.5">
      <c r="A130" s="19" t="s">
        <v>510</v>
      </c>
      <c r="B130" s="37" t="s">
        <v>623</v>
      </c>
      <c r="C130" s="8" t="s">
        <v>478</v>
      </c>
      <c r="D130" s="38" t="str">
        <f t="shared" si="1"/>
        <v>TRANSPORT-LSO_MILE 2 LIMBE_POSTE SOURCE_HTB_Appareillages Protection 90kV et Auxiliaires</v>
      </c>
      <c r="E130" s="4"/>
    </row>
    <row r="131" spans="1:5" ht="22.5">
      <c r="A131" s="19" t="s">
        <v>510</v>
      </c>
      <c r="B131" s="37" t="s">
        <v>624</v>
      </c>
      <c r="C131" s="8" t="s">
        <v>457</v>
      </c>
      <c r="D131" s="38" t="str">
        <f t="shared" si="1"/>
        <v>TRANSPORT-LSO_MILE 2 LIMBE_LIGNE_HTB_D.Ligne 90kV BEKOKO-MILE2 LIMBE</v>
      </c>
      <c r="E131" s="4"/>
    </row>
    <row r="132" spans="1:5" ht="22.5">
      <c r="A132" s="19" t="s">
        <v>512</v>
      </c>
      <c r="B132" s="37" t="s">
        <v>625</v>
      </c>
      <c r="C132" s="8" t="s">
        <v>487</v>
      </c>
      <c r="D132" s="38" t="str">
        <f t="shared" ref="D132:D150" si="2">A132&amp;"_"&amp;B132&amp;"_"&amp;C132</f>
        <v>TRANSPORT-ONO_BAFOUSSAM_POSTE SOURCE_HTB_AT  90/30kV</v>
      </c>
      <c r="E132" s="4"/>
    </row>
    <row r="133" spans="1:5" ht="22.5">
      <c r="A133" s="19" t="s">
        <v>512</v>
      </c>
      <c r="B133" s="37" t="s">
        <v>625</v>
      </c>
      <c r="C133" s="8" t="s">
        <v>355</v>
      </c>
      <c r="D133" s="38" t="str">
        <f t="shared" si="2"/>
        <v>TRANSPORT-ONO_BAFOUSSAM_POSTE SOURCE_HTB_Jeu de barres 90kV</v>
      </c>
      <c r="E133" s="4"/>
    </row>
    <row r="134" spans="1:5" ht="25.5">
      <c r="A134" s="19" t="s">
        <v>512</v>
      </c>
      <c r="B134" s="37" t="s">
        <v>625</v>
      </c>
      <c r="C134" s="8" t="s">
        <v>478</v>
      </c>
      <c r="D134" s="38" t="str">
        <f t="shared" si="2"/>
        <v>TRANSPORT-ONO_BAFOUSSAM_POSTE SOURCE_HTB_Appareillages Protection 90kV et Auxiliaires</v>
      </c>
      <c r="E134" s="4"/>
    </row>
    <row r="135" spans="1:5" ht="25.5">
      <c r="A135" s="19" t="s">
        <v>512</v>
      </c>
      <c r="B135" s="37" t="s">
        <v>626</v>
      </c>
      <c r="C135" s="8" t="s">
        <v>458</v>
      </c>
      <c r="D135" s="38" t="str">
        <f t="shared" si="2"/>
        <v>TRANSPORT-ONO_BAFOUSSAM_LIGNE_HTB_D.Ligne 90kV NKONGSAMBA-BAFOUSSAM</v>
      </c>
      <c r="E135" s="4"/>
    </row>
    <row r="136" spans="1:5" ht="22.5">
      <c r="A136" s="19" t="s">
        <v>512</v>
      </c>
      <c r="B136" s="37" t="s">
        <v>627</v>
      </c>
      <c r="C136" s="8" t="s">
        <v>487</v>
      </c>
      <c r="D136" s="38" t="str">
        <f t="shared" si="2"/>
        <v>TRANSPORT-ONO_BAMENDA_POSTE SOURCE_HTB_AT  90/30kV</v>
      </c>
      <c r="E136" s="4"/>
    </row>
    <row r="137" spans="1:5" ht="22.5">
      <c r="A137" s="19" t="s">
        <v>512</v>
      </c>
      <c r="B137" s="37" t="s">
        <v>627</v>
      </c>
      <c r="C137" s="8" t="s">
        <v>355</v>
      </c>
      <c r="D137" s="38" t="str">
        <f t="shared" si="2"/>
        <v>TRANSPORT-ONO_BAMENDA_POSTE SOURCE_HTB_Jeu de barres 90kV</v>
      </c>
      <c r="E137" s="4"/>
    </row>
    <row r="138" spans="1:5" ht="25.5">
      <c r="A138" s="19" t="s">
        <v>512</v>
      </c>
      <c r="B138" s="37" t="s">
        <v>627</v>
      </c>
      <c r="C138" s="8" t="s">
        <v>478</v>
      </c>
      <c r="D138" s="38" t="str">
        <f t="shared" si="2"/>
        <v>TRANSPORT-ONO_BAMENDA_POSTE SOURCE_HTB_Appareillages Protection 90kV et Auxiliaires</v>
      </c>
      <c r="E138" s="4"/>
    </row>
    <row r="139" spans="1:5" ht="25.5">
      <c r="A139" s="19" t="s">
        <v>512</v>
      </c>
      <c r="B139" s="37" t="s">
        <v>628</v>
      </c>
      <c r="C139" s="8" t="s">
        <v>459</v>
      </c>
      <c r="D139" s="38" t="str">
        <f t="shared" si="2"/>
        <v>TRANSPORT-ONO_BAMENDA_LIGNE_HTB_D.Ligne 90kV BAFOUSSAM-BAMENDA</v>
      </c>
      <c r="E139" s="4"/>
    </row>
    <row r="140" spans="1:5" ht="22.5">
      <c r="A140" s="19" t="s">
        <v>509</v>
      </c>
      <c r="B140" s="37" t="s">
        <v>629</v>
      </c>
      <c r="C140" s="8" t="s">
        <v>427</v>
      </c>
      <c r="D140" s="38" t="str">
        <f t="shared" si="2"/>
        <v>TRANSPORT-CSE_BERTOUA_POSTE SOURCE_HTB_AT  90/15kV</v>
      </c>
      <c r="E140" s="4"/>
    </row>
    <row r="141" spans="1:5" ht="22.5">
      <c r="A141" s="19" t="s">
        <v>509</v>
      </c>
      <c r="B141" s="37" t="s">
        <v>629</v>
      </c>
      <c r="C141" s="8" t="s">
        <v>355</v>
      </c>
      <c r="D141" s="38" t="str">
        <f t="shared" si="2"/>
        <v>TRANSPORT-CSE_BERTOUA_POSTE SOURCE_HTB_Jeu de barres 90kV</v>
      </c>
      <c r="E141" s="4"/>
    </row>
    <row r="142" spans="1:5" ht="18" customHeight="1">
      <c r="A142" s="19" t="s">
        <v>509</v>
      </c>
      <c r="B142" s="37" t="s">
        <v>629</v>
      </c>
      <c r="C142" s="8" t="s">
        <v>478</v>
      </c>
      <c r="D142" s="38" t="str">
        <f t="shared" si="2"/>
        <v>TRANSPORT-CSE_BERTOUA_POSTE SOURCE_HTB_Appareillages Protection 90kV et Auxiliaires</v>
      </c>
      <c r="E142" s="4"/>
    </row>
    <row r="143" spans="1:5" ht="18" customHeight="1">
      <c r="A143" s="19" t="s">
        <v>509</v>
      </c>
      <c r="B143" s="37" t="s">
        <v>630</v>
      </c>
      <c r="C143" s="8" t="s">
        <v>460</v>
      </c>
      <c r="D143" s="38" t="str">
        <f t="shared" si="2"/>
        <v>TRANSPORT-CSE_BERTOUA_LIGNE_HTB_D.Ligne 90kV LOM PANGAR-BERTOUA</v>
      </c>
      <c r="E143" s="4"/>
    </row>
    <row r="144" spans="1:5" ht="18" customHeight="1">
      <c r="A144" s="19" t="s">
        <v>218</v>
      </c>
      <c r="B144" s="37" t="s">
        <v>631</v>
      </c>
      <c r="C144" s="8" t="s">
        <v>487</v>
      </c>
      <c r="D144" s="38" t="str">
        <f t="shared" si="2"/>
        <v>TRANSPORT_MPOLONGWE_POSTE SOURCE_HTB_AT  90/30kV</v>
      </c>
      <c r="E144" s="4"/>
    </row>
    <row r="145" spans="1:5" ht="22.5">
      <c r="A145" s="19" t="s">
        <v>510</v>
      </c>
      <c r="B145" s="37" t="s">
        <v>632</v>
      </c>
      <c r="C145" s="8" t="s">
        <v>461</v>
      </c>
      <c r="D145" s="38" t="str">
        <f t="shared" si="2"/>
        <v>TRANSPORT-LSO_MANGOMBE_POSTE DE MANGOMBE _TRAVEE 225 kV TFO</v>
      </c>
      <c r="E145" s="4"/>
    </row>
    <row r="146" spans="1:5" ht="22.5">
      <c r="A146" s="19" t="s">
        <v>510</v>
      </c>
      <c r="B146" s="37" t="s">
        <v>632</v>
      </c>
      <c r="C146" s="8" t="s">
        <v>503</v>
      </c>
      <c r="D146" s="38" t="str">
        <f t="shared" si="2"/>
        <v>TRANSPORT-LSO_MANGOMBE_POSTE DE MANGOMBE _TRAVEE 90 kV TFO</v>
      </c>
      <c r="E146" s="4"/>
    </row>
    <row r="147" spans="1:5" ht="22.5">
      <c r="A147" s="19" t="s">
        <v>510</v>
      </c>
      <c r="B147" s="37" t="s">
        <v>632</v>
      </c>
      <c r="C147" s="8" t="s">
        <v>462</v>
      </c>
      <c r="D147" s="38" t="str">
        <f t="shared" si="2"/>
        <v>TRANSPORT-LSO_MANGOMBE_POSTE DE MANGOMBE _TFO 225/90 kV 105 MVA</v>
      </c>
      <c r="E147" s="4"/>
    </row>
    <row r="148" spans="1:5" ht="25.5">
      <c r="A148" s="19" t="s">
        <v>510</v>
      </c>
      <c r="B148" s="37" t="s">
        <v>633</v>
      </c>
      <c r="C148" s="8" t="s">
        <v>465</v>
      </c>
      <c r="D148" s="38" t="str">
        <f t="shared" si="2"/>
        <v>TRANSPORT-LSO_MANGOMBE_LIGNE_HTB_D.Ligne 225 kV  SONGLOULOU- MANGOMBE 1</v>
      </c>
      <c r="E148" s="4"/>
    </row>
    <row r="149" spans="1:5" ht="25.5">
      <c r="A149" s="19" t="s">
        <v>510</v>
      </c>
      <c r="B149" s="37" t="s">
        <v>633</v>
      </c>
      <c r="C149" s="8" t="s">
        <v>466</v>
      </c>
      <c r="D149" s="38" t="str">
        <f t="shared" si="2"/>
        <v>TRANSPORT-LSO_MANGOMBE_LIGNE_HTB_D.Ligne 225 kV  SONGLOULOU- MANGOMBE 2</v>
      </c>
      <c r="E149" s="4"/>
    </row>
    <row r="150" spans="1:5" ht="25.5">
      <c r="A150" s="19" t="s">
        <v>510</v>
      </c>
      <c r="B150" s="37" t="s">
        <v>634</v>
      </c>
      <c r="C150" s="8" t="s">
        <v>463</v>
      </c>
      <c r="D150" s="38" t="str">
        <f t="shared" si="2"/>
        <v>TRANSPORT-LSO_DIBAMBA_LIGNE_HTB_D.Ligne 90 kV DIBAMBA – NGODI BAKOKO</v>
      </c>
      <c r="E150" s="4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49FC-631F-4090-9C86-2A1BEA748BCC}">
  <dimension ref="A2:F307"/>
  <sheetViews>
    <sheetView tabSelected="1" workbookViewId="0">
      <selection activeCell="C186" sqref="C186"/>
    </sheetView>
  </sheetViews>
  <sheetFormatPr baseColWidth="10" defaultColWidth="9.140625" defaultRowHeight="15"/>
  <cols>
    <col min="1" max="1" width="27.85546875" style="22" customWidth="1"/>
    <col min="2" max="2" width="34.7109375" style="16" customWidth="1"/>
    <col min="3" max="3" width="34.5703125" style="28" customWidth="1"/>
    <col min="4" max="4" width="41.7109375" style="17" customWidth="1"/>
    <col min="5" max="5" width="63.85546875" style="39" customWidth="1"/>
    <col min="6" max="6" width="39.42578125" customWidth="1"/>
  </cols>
  <sheetData>
    <row r="2" spans="1:6" s="2" customFormat="1" ht="30" customHeight="1">
      <c r="A2" s="25" t="s">
        <v>0</v>
      </c>
      <c r="B2" s="26" t="s">
        <v>1</v>
      </c>
      <c r="C2" s="27" t="s">
        <v>417</v>
      </c>
      <c r="D2" s="26" t="s">
        <v>2</v>
      </c>
      <c r="E2" s="1" t="s">
        <v>635</v>
      </c>
      <c r="F2" s="3"/>
    </row>
    <row r="3" spans="1:6" ht="25.5">
      <c r="A3" s="20" t="s">
        <v>220</v>
      </c>
      <c r="B3" s="9" t="s">
        <v>356</v>
      </c>
      <c r="C3" s="9" t="s">
        <v>468</v>
      </c>
      <c r="D3" s="9" t="s">
        <v>473</v>
      </c>
      <c r="E3" s="8" t="str">
        <f>A3&amp;"_"&amp;B3&amp;"_"&amp;C3&amp;"_"&amp;D3</f>
        <v>DISTRIBUTION-MAINTENANCE POSTES_BRGM_POSTE SOURCE_HTA_TRANSFO 90/15kV N°1_RAME 15kV N°1</v>
      </c>
      <c r="F3" s="4"/>
    </row>
    <row r="4" spans="1:6" ht="25.5">
      <c r="A4" s="20" t="s">
        <v>220</v>
      </c>
      <c r="B4" s="9" t="s">
        <v>356</v>
      </c>
      <c r="C4" s="9" t="s">
        <v>469</v>
      </c>
      <c r="D4" s="9" t="s">
        <v>474</v>
      </c>
      <c r="E4" s="8" t="str">
        <f t="shared" ref="E4:E67" si="0">A4&amp;"_"&amp;B4&amp;"_"&amp;C4&amp;"_"&amp;D4</f>
        <v>DISTRIBUTION-MAINTENANCE POSTES_BRGM_POSTE SOURCE_HTA_TRANSFO 90/15kV N°2_RAME 15kV N°2</v>
      </c>
      <c r="F4" s="4"/>
    </row>
    <row r="5" spans="1:6" ht="25.5">
      <c r="A5" s="20" t="s">
        <v>220</v>
      </c>
      <c r="B5" s="9" t="s">
        <v>357</v>
      </c>
      <c r="C5" s="9" t="s">
        <v>481</v>
      </c>
      <c r="D5" s="9" t="s">
        <v>475</v>
      </c>
      <c r="E5" s="8" t="str">
        <f t="shared" si="0"/>
        <v>DISTRIBUTION-MAINTENANCE POSTES_NGOUSSO_POSTE SOURCE_HTA_TRANSFO 90/30kV N°1_RAME 30kV N°1</v>
      </c>
      <c r="F5" s="4"/>
    </row>
    <row r="6" spans="1:6" ht="25.5">
      <c r="A6" s="20" t="s">
        <v>220</v>
      </c>
      <c r="B6" s="9" t="s">
        <v>357</v>
      </c>
      <c r="C6" s="9" t="s">
        <v>470</v>
      </c>
      <c r="D6" s="9" t="s">
        <v>474</v>
      </c>
      <c r="E6" s="8" t="str">
        <f t="shared" si="0"/>
        <v>DISTRIBUTION-MAINTENANCE POSTES_NGOUSSO_POSTE SOURCE_HTA_TRANSFO 90/15kVN°2_RAME 15kV N°2</v>
      </c>
      <c r="F6" s="4"/>
    </row>
    <row r="7" spans="1:6" ht="25.5">
      <c r="A7" s="20" t="s">
        <v>220</v>
      </c>
      <c r="B7" s="9" t="s">
        <v>357</v>
      </c>
      <c r="C7" s="9" t="s">
        <v>471</v>
      </c>
      <c r="D7" s="9" t="s">
        <v>476</v>
      </c>
      <c r="E7" s="8" t="str">
        <f t="shared" si="0"/>
        <v>DISTRIBUTION-MAINTENANCE POSTES_NGOUSSO_POSTE SOURCE_HTA_TRANSFO 90/15kV N°3_RAME 15kV N°3</v>
      </c>
      <c r="F7" s="4"/>
    </row>
    <row r="8" spans="1:6" ht="25.5">
      <c r="A8" s="20" t="s">
        <v>220</v>
      </c>
      <c r="B8" s="9" t="s">
        <v>358</v>
      </c>
      <c r="C8" s="9" t="s">
        <v>408</v>
      </c>
      <c r="D8" s="9" t="s">
        <v>418</v>
      </c>
      <c r="E8" s="8" t="str">
        <f t="shared" si="0"/>
        <v>DISTRIBUTION-MAINTENANCE POSTES_KONDENGUI_POSTE SOURCE_HTA_TRANSFO 90/15kV_RAME 15kV</v>
      </c>
      <c r="F8" s="4"/>
    </row>
    <row r="9" spans="1:6" ht="25.5">
      <c r="A9" s="20" t="s">
        <v>220</v>
      </c>
      <c r="B9" s="9" t="s">
        <v>359</v>
      </c>
      <c r="C9" s="9" t="s">
        <v>408</v>
      </c>
      <c r="D9" s="9" t="s">
        <v>418</v>
      </c>
      <c r="E9" s="8" t="str">
        <f t="shared" si="0"/>
        <v>DISTRIBUTION-MAINTENANCE POSTES_AHALA_POSTE SOURCE_HTA_TRANSFO 90/15kV_RAME 15kV</v>
      </c>
      <c r="F9" s="4"/>
    </row>
    <row r="10" spans="1:6" ht="25.5">
      <c r="A10" s="20" t="s">
        <v>220</v>
      </c>
      <c r="B10" s="9" t="s">
        <v>360</v>
      </c>
      <c r="C10" s="9" t="s">
        <v>408</v>
      </c>
      <c r="D10" s="9" t="s">
        <v>418</v>
      </c>
      <c r="E10" s="8" t="str">
        <f t="shared" si="0"/>
        <v>DISTRIBUTION-MAINTENANCE POSTES_NSIMALEN_POSTE SOURCE_HTA_TRANSFO 90/15kV_RAME 15kV</v>
      </c>
      <c r="F10" s="4"/>
    </row>
    <row r="11" spans="1:6" ht="25.5">
      <c r="A11" s="20" t="s">
        <v>220</v>
      </c>
      <c r="B11" s="9" t="s">
        <v>361</v>
      </c>
      <c r="C11" s="9" t="s">
        <v>486</v>
      </c>
      <c r="D11" s="9" t="s">
        <v>419</v>
      </c>
      <c r="E11" s="8" t="str">
        <f t="shared" si="0"/>
        <v>DISTRIBUTION-MAINTENANCE POSTES_NOMAYOS_POSTE SOURCE_HTA_TRANSFO 90/30kV_RAME 30kV</v>
      </c>
      <c r="F11" s="4"/>
    </row>
    <row r="12" spans="1:6" ht="25.5">
      <c r="A12" s="20" t="s">
        <v>220</v>
      </c>
      <c r="B12" s="9" t="s">
        <v>362</v>
      </c>
      <c r="C12" s="9" t="s">
        <v>472</v>
      </c>
      <c r="D12" s="9" t="s">
        <v>418</v>
      </c>
      <c r="E12" s="8" t="str">
        <f t="shared" si="0"/>
        <v>DISTRIBUTION-MAINTENANCE POSTES_OYOMABANG_POSTE SOURCE_HTA_TRANSFO 90/15kV _RAME 15kV</v>
      </c>
      <c r="F12" s="4"/>
    </row>
    <row r="13" spans="1:6" ht="25.5">
      <c r="A13" s="20" t="s">
        <v>220</v>
      </c>
      <c r="B13" s="9" t="s">
        <v>363</v>
      </c>
      <c r="C13" s="29" t="s">
        <v>495</v>
      </c>
      <c r="D13" s="9" t="s">
        <v>418</v>
      </c>
      <c r="E13" s="8" t="str">
        <f t="shared" si="0"/>
        <v>DISTRIBUTION-MAINTENANCE POSTES_NYOM II_POSTE SOURCE_HTA_TRANSFO 225/15kV _RAME 15kV</v>
      </c>
      <c r="F13" s="4"/>
    </row>
    <row r="14" spans="1:6" ht="25.5">
      <c r="A14" s="20" t="s">
        <v>220</v>
      </c>
      <c r="B14" s="9" t="s">
        <v>364</v>
      </c>
      <c r="C14" s="9" t="s">
        <v>468</v>
      </c>
      <c r="D14" s="9" t="s">
        <v>473</v>
      </c>
      <c r="E14" s="8" t="str">
        <f t="shared" si="0"/>
        <v>DISTRIBUTION-MAINTENANCE POSTES_KOUMASSI_POSTE SOURCE_HTA_TRANSFO 90/15kV N°1_RAME 15kV N°1</v>
      </c>
      <c r="F14" s="4"/>
    </row>
    <row r="15" spans="1:6" ht="25.5">
      <c r="A15" s="20" t="s">
        <v>220</v>
      </c>
      <c r="B15" s="9" t="s">
        <v>364</v>
      </c>
      <c r="C15" s="9" t="s">
        <v>469</v>
      </c>
      <c r="D15" s="9" t="s">
        <v>474</v>
      </c>
      <c r="E15" s="8" t="str">
        <f t="shared" si="0"/>
        <v>DISTRIBUTION-MAINTENANCE POSTES_KOUMASSI_POSTE SOURCE_HTA_TRANSFO 90/15kV N°2_RAME 15kV N°2</v>
      </c>
      <c r="F15" s="4"/>
    </row>
    <row r="16" spans="1:6" ht="25.5">
      <c r="A16" s="20" t="s">
        <v>220</v>
      </c>
      <c r="B16" s="9" t="s">
        <v>365</v>
      </c>
      <c r="C16" s="9" t="s">
        <v>481</v>
      </c>
      <c r="D16" s="9" t="s">
        <v>475</v>
      </c>
      <c r="E16" s="8" t="str">
        <f t="shared" si="0"/>
        <v>DISTRIBUTION-MAINTENANCE POSTES_BEKOKO_POSTE SOURCE_HTA_TRANSFO 90/30kV N°1_RAME 30kV N°1</v>
      </c>
      <c r="F16" s="4"/>
    </row>
    <row r="17" spans="1:6" ht="25.5">
      <c r="A17" s="20" t="s">
        <v>220</v>
      </c>
      <c r="B17" s="9" t="s">
        <v>365</v>
      </c>
      <c r="C17" s="9" t="s">
        <v>482</v>
      </c>
      <c r="D17" s="9" t="s">
        <v>483</v>
      </c>
      <c r="E17" s="8" t="str">
        <f t="shared" si="0"/>
        <v>DISTRIBUTION-MAINTENANCE POSTES_BEKOKO_POSTE SOURCE_HTA_TRANSFO 90/30kV N°2_RAME 30kV N°2</v>
      </c>
      <c r="F17" s="4"/>
    </row>
    <row r="18" spans="1:6" ht="25.5">
      <c r="A18" s="20" t="s">
        <v>220</v>
      </c>
      <c r="B18" s="9" t="s">
        <v>366</v>
      </c>
      <c r="C18" s="9" t="s">
        <v>468</v>
      </c>
      <c r="D18" s="9" t="s">
        <v>473</v>
      </c>
      <c r="E18" s="8" t="str">
        <f t="shared" si="0"/>
        <v>DISTRIBUTION-MAINTENANCE POSTES_BONABERI_POSTE SOURCE_HTA_TRANSFO 90/15kV N°1_RAME 15kV N°1</v>
      </c>
      <c r="F18" s="4"/>
    </row>
    <row r="19" spans="1:6" ht="25.5">
      <c r="A19" s="20" t="s">
        <v>220</v>
      </c>
      <c r="B19" s="9" t="s">
        <v>366</v>
      </c>
      <c r="C19" s="9" t="s">
        <v>469</v>
      </c>
      <c r="D19" s="9" t="s">
        <v>474</v>
      </c>
      <c r="E19" s="8" t="str">
        <f t="shared" si="0"/>
        <v>DISTRIBUTION-MAINTENANCE POSTES_BONABERI_POSTE SOURCE_HTA_TRANSFO 90/15kV N°2_RAME 15kV N°2</v>
      </c>
      <c r="F19" s="4"/>
    </row>
    <row r="20" spans="1:6" ht="25.5">
      <c r="A20" s="20" t="s">
        <v>220</v>
      </c>
      <c r="B20" s="9" t="s">
        <v>367</v>
      </c>
      <c r="C20" s="9" t="s">
        <v>468</v>
      </c>
      <c r="D20" s="9" t="s">
        <v>473</v>
      </c>
      <c r="E20" s="8" t="str">
        <f t="shared" si="0"/>
        <v>DISTRIBUTION-MAINTENANCE POSTES_DEIDO_POSTE SOURCE_HTA_TRANSFO 90/15kV N°1_RAME 15kV N°1</v>
      </c>
      <c r="F20" s="4"/>
    </row>
    <row r="21" spans="1:6" ht="25.5">
      <c r="A21" s="20" t="s">
        <v>220</v>
      </c>
      <c r="B21" s="9" t="s">
        <v>367</v>
      </c>
      <c r="C21" s="9" t="s">
        <v>469</v>
      </c>
      <c r="D21" s="9" t="s">
        <v>474</v>
      </c>
      <c r="E21" s="8" t="str">
        <f t="shared" si="0"/>
        <v>DISTRIBUTION-MAINTENANCE POSTES_DEIDO_POSTE SOURCE_HTA_TRANSFO 90/15kV N°2_RAME 15kV N°2</v>
      </c>
      <c r="F21" s="4"/>
    </row>
    <row r="22" spans="1:6" ht="25.5">
      <c r="A22" s="20" t="s">
        <v>220</v>
      </c>
      <c r="B22" s="9" t="s">
        <v>368</v>
      </c>
      <c r="C22" s="9" t="s">
        <v>468</v>
      </c>
      <c r="D22" s="9" t="s">
        <v>473</v>
      </c>
      <c r="E22" s="8" t="str">
        <f t="shared" si="0"/>
        <v>DISTRIBUTION-MAINTENANCE POSTES_MAKEPE_POSTE SOURCE_HTA_TRANSFO 90/15kV N°1_RAME 15kV N°1</v>
      </c>
      <c r="F22" s="4"/>
    </row>
    <row r="23" spans="1:6" ht="25.5">
      <c r="A23" s="20" t="s">
        <v>220</v>
      </c>
      <c r="B23" s="9" t="s">
        <v>368</v>
      </c>
      <c r="C23" s="9" t="s">
        <v>469</v>
      </c>
      <c r="D23" s="9" t="s">
        <v>474</v>
      </c>
      <c r="E23" s="8" t="str">
        <f t="shared" si="0"/>
        <v>DISTRIBUTION-MAINTENANCE POSTES_MAKEPE_POSTE SOURCE_HTA_TRANSFO 90/15kV N°2_RAME 15kV N°2</v>
      </c>
      <c r="F23" s="4"/>
    </row>
    <row r="24" spans="1:6" ht="27.75" customHeight="1">
      <c r="A24" s="20" t="s">
        <v>220</v>
      </c>
      <c r="B24" s="9" t="s">
        <v>369</v>
      </c>
      <c r="C24" s="9" t="s">
        <v>468</v>
      </c>
      <c r="D24" s="9" t="s">
        <v>473</v>
      </c>
      <c r="E24" s="8" t="str">
        <f t="shared" si="0"/>
        <v>DISTRIBUTION-MAINTENANCE POSTES_NGODI BAKOKO_POSTE SOURCE_HTA_TRANSFO 90/15kV N°1_RAME 15kV N°1</v>
      </c>
      <c r="F24" s="4"/>
    </row>
    <row r="25" spans="1:6" ht="25.5">
      <c r="A25" s="20" t="s">
        <v>220</v>
      </c>
      <c r="B25" s="9" t="s">
        <v>369</v>
      </c>
      <c r="C25" s="9" t="s">
        <v>469</v>
      </c>
      <c r="D25" s="9" t="s">
        <v>474</v>
      </c>
      <c r="E25" s="8" t="str">
        <f t="shared" si="0"/>
        <v>DISTRIBUTION-MAINTENANCE POSTES_NGODI BAKOKO_POSTE SOURCE_HTA_TRANSFO 90/15kV N°2_RAME 15kV N°2</v>
      </c>
      <c r="F25" s="4"/>
    </row>
    <row r="26" spans="1:6" ht="25.5">
      <c r="A26" s="20" t="s">
        <v>220</v>
      </c>
      <c r="B26" s="9" t="s">
        <v>370</v>
      </c>
      <c r="C26" s="9" t="s">
        <v>504</v>
      </c>
      <c r="D26" s="9" t="s">
        <v>418</v>
      </c>
      <c r="E26" s="8" t="str">
        <f t="shared" si="0"/>
        <v>DISTRIBUTION-MAINTENANCE POSTES_LOGBABA_POSTE SOURCE_HTA_TRANSFO 225/90/15kV _RAME 15kV</v>
      </c>
      <c r="F26" s="4"/>
    </row>
    <row r="27" spans="1:6" ht="25.5">
      <c r="A27" s="20" t="s">
        <v>220</v>
      </c>
      <c r="B27" s="9" t="s">
        <v>371</v>
      </c>
      <c r="C27" s="9" t="s">
        <v>468</v>
      </c>
      <c r="D27" s="9" t="s">
        <v>473</v>
      </c>
      <c r="E27" s="8" t="str">
        <f t="shared" si="0"/>
        <v>DISTRIBUTION-MAINTENANCE POSTES_BASSA_POSTE SOURCE_HTA_TRANSFO 90/15kV N°1_RAME 15kV N°1</v>
      </c>
      <c r="F27" s="4"/>
    </row>
    <row r="28" spans="1:6" ht="25.5">
      <c r="A28" s="20" t="s">
        <v>220</v>
      </c>
      <c r="B28" s="9" t="s">
        <v>371</v>
      </c>
      <c r="C28" s="9" t="s">
        <v>469</v>
      </c>
      <c r="D28" s="9" t="s">
        <v>474</v>
      </c>
      <c r="E28" s="8" t="str">
        <f t="shared" si="0"/>
        <v>DISTRIBUTION-MAINTENANCE POSTES_BASSA_POSTE SOURCE_HTA_TRANSFO 90/15kV N°2_RAME 15kV N°2</v>
      </c>
      <c r="F28" s="4"/>
    </row>
    <row r="29" spans="1:6" ht="25.5">
      <c r="A29" s="20" t="s">
        <v>220</v>
      </c>
      <c r="B29" s="9" t="s">
        <v>371</v>
      </c>
      <c r="C29" s="9" t="s">
        <v>471</v>
      </c>
      <c r="D29" s="9" t="s">
        <v>476</v>
      </c>
      <c r="E29" s="8" t="str">
        <f t="shared" si="0"/>
        <v>DISTRIBUTION-MAINTENANCE POSTES_BASSA_POSTE SOURCE_HTA_TRANSFO 90/15kV N°3_RAME 15kV N°3</v>
      </c>
      <c r="F29" s="4"/>
    </row>
    <row r="30" spans="1:6" ht="25.5">
      <c r="A30" s="20" t="s">
        <v>220</v>
      </c>
      <c r="B30" s="9" t="s">
        <v>372</v>
      </c>
      <c r="C30" s="9" t="s">
        <v>477</v>
      </c>
      <c r="D30" s="9" t="s">
        <v>473</v>
      </c>
      <c r="E30" s="8" t="str">
        <f t="shared" si="0"/>
        <v>DISTRIBUTION-MAINTENANCE POSTES_MAROUA_POSTE SOURCE_HTA_TRANSFO  90/15kV N°1_RAME 15kV N°1</v>
      </c>
      <c r="F30" s="4"/>
    </row>
    <row r="31" spans="1:6" ht="25.5">
      <c r="A31" s="20" t="s">
        <v>220</v>
      </c>
      <c r="B31" s="9" t="s">
        <v>372</v>
      </c>
      <c r="C31" s="9" t="s">
        <v>489</v>
      </c>
      <c r="D31" s="9" t="s">
        <v>483</v>
      </c>
      <c r="E31" s="8" t="str">
        <f t="shared" si="0"/>
        <v>DISTRIBUTION-MAINTENANCE POSTES_MAROUA_POSTE SOURCE_HTA_TRANSFO  90/30kV N°2_RAME 30kV N°2</v>
      </c>
      <c r="F31" s="4"/>
    </row>
    <row r="32" spans="1:6" ht="25.5">
      <c r="A32" s="20" t="s">
        <v>220</v>
      </c>
      <c r="B32" s="9" t="s">
        <v>373</v>
      </c>
      <c r="C32" s="9" t="s">
        <v>468</v>
      </c>
      <c r="D32" s="9" t="s">
        <v>473</v>
      </c>
      <c r="E32" s="8" t="str">
        <f t="shared" si="0"/>
        <v>DISTRIBUTION-MAINTENANCE POSTES_DJAMBOUTOU_POSTE SOURCE_HTA_TRANSFO 90/15kV N°1_RAME 15kV N°1</v>
      </c>
      <c r="F32" s="4"/>
    </row>
    <row r="33" spans="1:6" ht="25.5">
      <c r="A33" s="20" t="s">
        <v>220</v>
      </c>
      <c r="B33" s="9" t="s">
        <v>373</v>
      </c>
      <c r="C33" s="9" t="s">
        <v>469</v>
      </c>
      <c r="D33" s="9" t="s">
        <v>474</v>
      </c>
      <c r="E33" s="8" t="str">
        <f t="shared" si="0"/>
        <v>DISTRIBUTION-MAINTENANCE POSTES_DJAMBOUTOU_POSTE SOURCE_HTA_TRANSFO 90/15kV N°2_RAME 15kV N°2</v>
      </c>
      <c r="F33" s="4"/>
    </row>
    <row r="34" spans="1:6" ht="25.5">
      <c r="A34" s="20" t="s">
        <v>220</v>
      </c>
      <c r="B34" s="9" t="s">
        <v>506</v>
      </c>
      <c r="C34" s="9" t="s">
        <v>472</v>
      </c>
      <c r="D34" s="9" t="s">
        <v>418</v>
      </c>
      <c r="E34" s="8" t="str">
        <f t="shared" si="0"/>
        <v>DISTRIBUTION-MAINTENANCE POSTES_GUIDER_POSTE SOURCE_HTA_TRANSFO 90/15kV _RAME 15kV</v>
      </c>
      <c r="F34" s="4"/>
    </row>
    <row r="35" spans="1:6" ht="25.5">
      <c r="A35" s="20" t="s">
        <v>220</v>
      </c>
      <c r="B35" s="9" t="s">
        <v>374</v>
      </c>
      <c r="C35" s="9" t="s">
        <v>490</v>
      </c>
      <c r="D35" s="9" t="s">
        <v>418</v>
      </c>
      <c r="E35" s="8" t="str">
        <f t="shared" si="0"/>
        <v>DISTRIBUTION-MAINTENANCE POSTES_NGAOUNDERE_POSTE SOURCE_HTA_TRANSFO  110/15kV _RAME 15kV</v>
      </c>
      <c r="F35" s="4"/>
    </row>
    <row r="36" spans="1:6" ht="25.5">
      <c r="A36" s="20" t="s">
        <v>220</v>
      </c>
      <c r="B36" s="9" t="s">
        <v>375</v>
      </c>
      <c r="C36" s="9" t="s">
        <v>412</v>
      </c>
      <c r="D36" s="9" t="s">
        <v>419</v>
      </c>
      <c r="E36" s="8" t="str">
        <f t="shared" si="0"/>
        <v>DISTRIBUTION-MAINTENANCE POSTES_DJOB_POSTE SOURCE_HTA_TRANSFO  90/30kV _RAME 30kV</v>
      </c>
      <c r="F36" s="4"/>
    </row>
    <row r="37" spans="1:6" ht="25.5">
      <c r="A37" s="20" t="s">
        <v>220</v>
      </c>
      <c r="B37" s="9" t="s">
        <v>376</v>
      </c>
      <c r="C37" s="9" t="s">
        <v>412</v>
      </c>
      <c r="D37" s="9" t="s">
        <v>419</v>
      </c>
      <c r="E37" s="8" t="str">
        <f t="shared" si="0"/>
        <v>DISTRIBUTION-MAINTENANCE POSTES_EKOMBITIE_POSTE SOURCE_HTA_TRANSFO  90/30kV _RAME 30kV</v>
      </c>
      <c r="F37" s="4"/>
    </row>
    <row r="38" spans="1:6" ht="27.75" customHeight="1">
      <c r="A38" s="20" t="s">
        <v>220</v>
      </c>
      <c r="B38" s="9" t="s">
        <v>377</v>
      </c>
      <c r="C38" s="9" t="s">
        <v>412</v>
      </c>
      <c r="D38" s="9" t="s">
        <v>419</v>
      </c>
      <c r="E38" s="8" t="str">
        <f t="shared" si="0"/>
        <v>DISTRIBUTION-MAINTENANCE POSTES_NDJOCK NKONG_POSTE SOURCE_HTA_TRANSFO  90/30kV _RAME 30kV</v>
      </c>
      <c r="F38" s="4"/>
    </row>
    <row r="39" spans="1:6" ht="25.5">
      <c r="A39" s="20" t="s">
        <v>220</v>
      </c>
      <c r="B39" s="9" t="s">
        <v>378</v>
      </c>
      <c r="C39" s="9" t="s">
        <v>412</v>
      </c>
      <c r="D39" s="9" t="s">
        <v>419</v>
      </c>
      <c r="E39" s="8" t="str">
        <f t="shared" si="0"/>
        <v>DISTRIBUTION-MAINTENANCE POSTES_NJOMBE_POSTE SOURCE_HTA_TRANSFO  90/30kV _RAME 30kV</v>
      </c>
      <c r="F39" s="4"/>
    </row>
    <row r="40" spans="1:6" ht="25.5">
      <c r="A40" s="20" t="s">
        <v>220</v>
      </c>
      <c r="B40" s="9" t="s">
        <v>379</v>
      </c>
      <c r="C40" s="9" t="s">
        <v>412</v>
      </c>
      <c r="D40" s="9" t="s">
        <v>419</v>
      </c>
      <c r="E40" s="8" t="str">
        <f t="shared" si="0"/>
        <v>DISTRIBUTION-MAINTENANCE POSTES_NKONGSAMBA_POSTE SOURCE_HTA_TRANSFO  90/30kV _RAME 30kV</v>
      </c>
      <c r="F40" s="4"/>
    </row>
    <row r="41" spans="1:6" ht="25.5">
      <c r="A41" s="20" t="s">
        <v>220</v>
      </c>
      <c r="B41" s="9" t="s">
        <v>380</v>
      </c>
      <c r="C41" s="9" t="s">
        <v>412</v>
      </c>
      <c r="D41" s="9" t="s">
        <v>419</v>
      </c>
      <c r="E41" s="8" t="str">
        <f t="shared" si="0"/>
        <v>DISTRIBUTION-MAINTENANCE POSTES_MILE 2 LIMBE_POSTE SOURCE_HTA_TRANSFO  90/30kV _RAME 30kV</v>
      </c>
      <c r="F41" s="4"/>
    </row>
    <row r="42" spans="1:6" ht="25.5">
      <c r="A42" s="20" t="s">
        <v>220</v>
      </c>
      <c r="B42" s="9" t="s">
        <v>381</v>
      </c>
      <c r="C42" s="9" t="s">
        <v>412</v>
      </c>
      <c r="D42" s="9" t="s">
        <v>419</v>
      </c>
      <c r="E42" s="8" t="str">
        <f t="shared" si="0"/>
        <v>DISTRIBUTION-MAINTENANCE POSTES_BAFOUSSAM_POSTE SOURCE_HTA_TRANSFO  90/30kV _RAME 30kV</v>
      </c>
      <c r="F42" s="4"/>
    </row>
    <row r="43" spans="1:6" ht="25.5">
      <c r="A43" s="20" t="s">
        <v>220</v>
      </c>
      <c r="B43" s="9" t="s">
        <v>382</v>
      </c>
      <c r="C43" s="9" t="s">
        <v>412</v>
      </c>
      <c r="D43" s="9" t="s">
        <v>419</v>
      </c>
      <c r="E43" s="8" t="str">
        <f t="shared" si="0"/>
        <v>DISTRIBUTION-MAINTENANCE POSTES_BAMENDA_POSTE SOURCE_HTA_TRANSFO  90/30kV _RAME 30kV</v>
      </c>
      <c r="F43" s="4"/>
    </row>
    <row r="44" spans="1:6" ht="25.5">
      <c r="A44" s="20" t="s">
        <v>220</v>
      </c>
      <c r="B44" s="9" t="s">
        <v>383</v>
      </c>
      <c r="C44" s="9" t="s">
        <v>412</v>
      </c>
      <c r="D44" s="9" t="s">
        <v>419</v>
      </c>
      <c r="E44" s="8" t="str">
        <f t="shared" si="0"/>
        <v>DISTRIBUTION-MAINTENANCE POSTES_BERTOUA_POSTE SOURCE_HTA_TRANSFO  90/30kV _RAME 30kV</v>
      </c>
      <c r="F44" s="4"/>
    </row>
    <row r="45" spans="1:6" ht="25.5">
      <c r="A45" s="20" t="s">
        <v>220</v>
      </c>
      <c r="B45" s="9" t="s">
        <v>507</v>
      </c>
      <c r="C45" s="9" t="s">
        <v>412</v>
      </c>
      <c r="D45" s="9" t="s">
        <v>419</v>
      </c>
      <c r="E45" s="8" t="str">
        <f t="shared" si="0"/>
        <v>DISTRIBUTION-MAINTENANCE POSTES_MPOLONGWE_POSTE SOURCE_HTA_TRANSFO  90/30kV _RAME 30kV</v>
      </c>
      <c r="F45" s="4"/>
    </row>
    <row r="46" spans="1:6" ht="25.5">
      <c r="A46" s="21" t="s">
        <v>10</v>
      </c>
      <c r="B46" s="9" t="s">
        <v>19</v>
      </c>
      <c r="C46" s="9" t="s">
        <v>396</v>
      </c>
      <c r="D46" s="10" t="s">
        <v>273</v>
      </c>
      <c r="E46" s="8" t="str">
        <f t="shared" si="0"/>
        <v>DISTRIBUTION-DRY_BRGM_TRANSFO N°1 90/15kV_BRG.PMR A12 ETOUG-EBE</v>
      </c>
      <c r="F46" s="4"/>
    </row>
    <row r="47" spans="1:6" ht="25.5">
      <c r="A47" s="21" t="s">
        <v>10</v>
      </c>
      <c r="B47" s="9" t="s">
        <v>19</v>
      </c>
      <c r="C47" s="9" t="s">
        <v>396</v>
      </c>
      <c r="D47" s="10" t="s">
        <v>274</v>
      </c>
      <c r="E47" s="8" t="str">
        <f t="shared" si="0"/>
        <v>DISTRIBUTION-DRY_BRGM_TRANSFO N°1 90/15kV_BRG.PMR D13 CITE VERTE</v>
      </c>
      <c r="F47" s="4"/>
    </row>
    <row r="48" spans="1:6" ht="25.5">
      <c r="A48" s="21" t="s">
        <v>10</v>
      </c>
      <c r="B48" s="9" t="s">
        <v>19</v>
      </c>
      <c r="C48" s="9" t="s">
        <v>396</v>
      </c>
      <c r="D48" s="10" t="s">
        <v>275</v>
      </c>
      <c r="E48" s="8" t="str">
        <f t="shared" si="0"/>
        <v>DISTRIBUTION-DRY_BRGM_TRANSFO N°1 90/15kV_BRG.PMR D14 SNEC MESSA</v>
      </c>
      <c r="F48" s="4"/>
    </row>
    <row r="49" spans="1:6" ht="25.5">
      <c r="A49" s="21" t="s">
        <v>10</v>
      </c>
      <c r="B49" s="9" t="s">
        <v>19</v>
      </c>
      <c r="C49" s="9" t="s">
        <v>396</v>
      </c>
      <c r="D49" s="10" t="s">
        <v>276</v>
      </c>
      <c r="E49" s="8" t="str">
        <f t="shared" si="0"/>
        <v>DISTRIBUTION-DRY_BRGM_TRANSFO N°1 90/15kV_BRG.PMR D15 CUSS</v>
      </c>
      <c r="F49" s="4"/>
    </row>
    <row r="50" spans="1:6" ht="25.5">
      <c r="A50" s="21" t="s">
        <v>10</v>
      </c>
      <c r="B50" s="9" t="s">
        <v>19</v>
      </c>
      <c r="C50" s="9" t="s">
        <v>396</v>
      </c>
      <c r="D50" s="10" t="s">
        <v>277</v>
      </c>
      <c r="E50" s="8" t="str">
        <f t="shared" si="0"/>
        <v>DISTRIBUTION-DRY_BRGM_TRANSFO N°1 90/15kV_BRG.PMR D16 HOPITAL CENTRAL</v>
      </c>
      <c r="F50" s="4"/>
    </row>
    <row r="51" spans="1:6" ht="25.5">
      <c r="A51" s="21" t="s">
        <v>10</v>
      </c>
      <c r="B51" s="9" t="s">
        <v>19</v>
      </c>
      <c r="C51" s="9" t="s">
        <v>396</v>
      </c>
      <c r="D51" s="10" t="s">
        <v>278</v>
      </c>
      <c r="E51" s="8" t="str">
        <f t="shared" si="0"/>
        <v>DISTRIBUTION-DRY_BRGM_TRANSFO N°1 90/15kV_BRG.PMR D115 BRGM</v>
      </c>
      <c r="F51" s="4"/>
    </row>
    <row r="52" spans="1:6" ht="25.5">
      <c r="A52" s="21" t="s">
        <v>10</v>
      </c>
      <c r="B52" s="9" t="s">
        <v>19</v>
      </c>
      <c r="C52" s="9" t="s">
        <v>396</v>
      </c>
      <c r="D52" s="10" t="s">
        <v>279</v>
      </c>
      <c r="E52" s="8" t="str">
        <f t="shared" si="0"/>
        <v>DISTRIBUTION-DRY_BRGM_TRANSFO N°1 90/15kV_BRG.PMR D112 ASSEMBLEE NATIONALE</v>
      </c>
      <c r="F52" s="4"/>
    </row>
    <row r="53" spans="1:6" ht="25.5">
      <c r="A53" s="21" t="s">
        <v>10</v>
      </c>
      <c r="B53" s="9" t="s">
        <v>19</v>
      </c>
      <c r="C53" s="9" t="s">
        <v>396</v>
      </c>
      <c r="D53" s="10" t="s">
        <v>280</v>
      </c>
      <c r="E53" s="8" t="str">
        <f t="shared" si="0"/>
        <v>DISTRIBUTION-DRY_BRGM_TRANSFO N°1 90/15kV_BRG.PMR D113 ELOUMDEN</v>
      </c>
      <c r="F53" s="4"/>
    </row>
    <row r="54" spans="1:6" ht="15.75">
      <c r="A54" s="21" t="s">
        <v>10</v>
      </c>
      <c r="B54" s="9" t="s">
        <v>19</v>
      </c>
      <c r="C54" s="9" t="s">
        <v>397</v>
      </c>
      <c r="D54" s="10" t="s">
        <v>384</v>
      </c>
      <c r="E54" s="8" t="str">
        <f t="shared" si="0"/>
        <v>DISTRIBUTION-DRY_BRGM_TRANSFO N°2 90/15kV_BRG.D11 P4</v>
      </c>
      <c r="F54" s="4"/>
    </row>
    <row r="55" spans="1:6" ht="15.75">
      <c r="A55" s="21" t="s">
        <v>10</v>
      </c>
      <c r="B55" s="9" t="s">
        <v>19</v>
      </c>
      <c r="C55" s="9" t="s">
        <v>397</v>
      </c>
      <c r="D55" s="10" t="s">
        <v>281</v>
      </c>
      <c r="E55" s="8" t="str">
        <f t="shared" si="0"/>
        <v>DISTRIBUTION-DRY_BRGM_TRANSFO N°2 90/15kV_BRG.D12 MESSA</v>
      </c>
      <c r="F55" s="4"/>
    </row>
    <row r="56" spans="1:6" ht="25.5">
      <c r="A56" s="21" t="s">
        <v>10</v>
      </c>
      <c r="B56" s="9" t="s">
        <v>19</v>
      </c>
      <c r="C56" s="9" t="s">
        <v>397</v>
      </c>
      <c r="D56" s="10" t="s">
        <v>282</v>
      </c>
      <c r="E56" s="8" t="str">
        <f t="shared" si="0"/>
        <v>DISTRIBUTION-DRY_BRGM_TRANSFO N°2 90/15kV_BRG.D17 PALAIS DES CONGRES</v>
      </c>
      <c r="F56" s="4"/>
    </row>
    <row r="57" spans="1:6" ht="15.75">
      <c r="A57" s="21" t="s">
        <v>10</v>
      </c>
      <c r="B57" s="9" t="s">
        <v>19</v>
      </c>
      <c r="C57" s="9" t="s">
        <v>397</v>
      </c>
      <c r="D57" s="10" t="s">
        <v>385</v>
      </c>
      <c r="E57" s="8" t="str">
        <f t="shared" si="0"/>
        <v>DISTRIBUTION-DRY_BRGM_TRANSFO N°2 90/15kV_BRG.D18 P61</v>
      </c>
      <c r="F57" s="4"/>
    </row>
    <row r="58" spans="1:6" ht="25.5">
      <c r="A58" s="21" t="s">
        <v>10</v>
      </c>
      <c r="B58" s="9" t="s">
        <v>19</v>
      </c>
      <c r="C58" s="9" t="s">
        <v>397</v>
      </c>
      <c r="D58" s="10" t="s">
        <v>283</v>
      </c>
      <c r="E58" s="8" t="str">
        <f t="shared" si="0"/>
        <v>DISTRIBUTION-DRY_BRGM_TRANSFO N°2 90/15kV_BRG.D19 PREFECTURE</v>
      </c>
      <c r="F58" s="4"/>
    </row>
    <row r="59" spans="1:6" ht="15.75">
      <c r="A59" s="21" t="s">
        <v>10</v>
      </c>
      <c r="B59" s="9" t="s">
        <v>19</v>
      </c>
      <c r="C59" s="9" t="s">
        <v>397</v>
      </c>
      <c r="D59" s="10" t="s">
        <v>284</v>
      </c>
      <c r="E59" s="8" t="str">
        <f t="shared" si="0"/>
        <v>DISTRIBUTION-DRY_BRGM_TRANSFO N°2 90/15kV_BRG.D117 BRGM</v>
      </c>
      <c r="F59" s="4"/>
    </row>
    <row r="60" spans="1:6" ht="25.5">
      <c r="A60" s="21" t="s">
        <v>10</v>
      </c>
      <c r="B60" s="9" t="s">
        <v>19</v>
      </c>
      <c r="C60" s="9" t="s">
        <v>397</v>
      </c>
      <c r="D60" s="10" t="s">
        <v>285</v>
      </c>
      <c r="E60" s="8" t="str">
        <f t="shared" si="0"/>
        <v>DISTRIBUTION-DRY_BRGM_TRANSFO N°2 90/15kV_BRG.D110 BIYEMASSI</v>
      </c>
      <c r="F60" s="4"/>
    </row>
    <row r="61" spans="1:6" ht="15.75">
      <c r="A61" s="21" t="s">
        <v>10</v>
      </c>
      <c r="B61" s="9" t="s">
        <v>19</v>
      </c>
      <c r="C61" s="9" t="s">
        <v>397</v>
      </c>
      <c r="D61" s="10" t="s">
        <v>286</v>
      </c>
      <c r="E61" s="8" t="str">
        <f t="shared" si="0"/>
        <v>DISTRIBUTION-DRY_BRGM_TRANSFO N°2 90/15kV_BRG.D111 MELEN</v>
      </c>
      <c r="F61" s="4"/>
    </row>
    <row r="62" spans="1:6" ht="15.75">
      <c r="A62" s="21" t="s">
        <v>10</v>
      </c>
      <c r="B62" s="9" t="s">
        <v>19</v>
      </c>
      <c r="C62" s="9" t="s">
        <v>397</v>
      </c>
      <c r="D62" s="10" t="s">
        <v>287</v>
      </c>
      <c r="E62" s="8" t="str">
        <f t="shared" si="0"/>
        <v>DISTRIBUTION-DRY_BRGM_TRANSFO N°2 90/15kV_BRG.D31 BRGM</v>
      </c>
      <c r="F62" s="4"/>
    </row>
    <row r="63" spans="1:6" ht="25.5">
      <c r="A63" s="21" t="s">
        <v>10</v>
      </c>
      <c r="B63" s="9" t="s">
        <v>394</v>
      </c>
      <c r="C63" s="9" t="s">
        <v>398</v>
      </c>
      <c r="D63" s="10" t="s">
        <v>251</v>
      </c>
      <c r="E63" s="8" t="str">
        <f t="shared" si="0"/>
        <v>DISTRIBUTION-DRY_AHALA _TRANSFO N°1 90/15kV _AHA.D11 OBAM ONGOLA</v>
      </c>
      <c r="F63" s="4"/>
    </row>
    <row r="64" spans="1:6" ht="25.5">
      <c r="A64" s="21" t="s">
        <v>10</v>
      </c>
      <c r="B64" s="9" t="s">
        <v>394</v>
      </c>
      <c r="C64" s="9" t="s">
        <v>398</v>
      </c>
      <c r="D64" s="10" t="s">
        <v>252</v>
      </c>
      <c r="E64" s="8" t="str">
        <f t="shared" si="0"/>
        <v>DISTRIBUTION-DRY_AHALA _TRANSFO N°1 90/15kV _AHA.D12 BRASSERIES</v>
      </c>
      <c r="F64" s="4"/>
    </row>
    <row r="65" spans="1:6" ht="25.5">
      <c r="A65" s="21" t="s">
        <v>10</v>
      </c>
      <c r="B65" s="9" t="s">
        <v>394</v>
      </c>
      <c r="C65" s="9" t="s">
        <v>398</v>
      </c>
      <c r="D65" s="10" t="s">
        <v>253</v>
      </c>
      <c r="E65" s="8" t="str">
        <f t="shared" si="0"/>
        <v>DISTRIBUTION-DRY_AHALA _TRANSFO N°1 90/15kV _AHA.D13 NSIMEYONG</v>
      </c>
      <c r="F65" s="4"/>
    </row>
    <row r="66" spans="1:6" ht="25.5">
      <c r="A66" s="21" t="s">
        <v>10</v>
      </c>
      <c r="B66" s="9" t="s">
        <v>394</v>
      </c>
      <c r="C66" s="9" t="s">
        <v>398</v>
      </c>
      <c r="D66" s="10" t="s">
        <v>254</v>
      </c>
      <c r="E66" s="8" t="str">
        <f t="shared" si="0"/>
        <v>DISTRIBUTION-DRY_AHALA _TRANSFO N°1 90/15kV _AHA.D14 MENDONG</v>
      </c>
      <c r="F66" s="4"/>
    </row>
    <row r="67" spans="1:6" ht="25.5">
      <c r="A67" s="21" t="s">
        <v>10</v>
      </c>
      <c r="B67" s="9" t="s">
        <v>394</v>
      </c>
      <c r="C67" s="9" t="s">
        <v>398</v>
      </c>
      <c r="D67" s="10" t="s">
        <v>255</v>
      </c>
      <c r="E67" s="8" t="str">
        <f t="shared" si="0"/>
        <v>DISTRIBUTION-DRY_AHALA _TRANSFO N°1 90/15kV _AHA.D15 EP AUTOROUTE</v>
      </c>
      <c r="F67" s="4"/>
    </row>
    <row r="68" spans="1:6" ht="15.75">
      <c r="A68" s="21" t="s">
        <v>10</v>
      </c>
      <c r="B68" s="9" t="s">
        <v>394</v>
      </c>
      <c r="C68" s="9" t="s">
        <v>398</v>
      </c>
      <c r="D68" s="10" t="s">
        <v>256</v>
      </c>
      <c r="E68" s="8" t="str">
        <f t="shared" ref="E68:E131" si="1">A68&amp;"_"&amp;B68&amp;"_"&amp;C68&amp;"_"&amp;D68</f>
        <v>DISTRIBUTION-DRY_AHALA _TRANSFO N°1 90/15kV _AHA.D16 ODZA</v>
      </c>
      <c r="F68" s="4"/>
    </row>
    <row r="69" spans="1:6" ht="25.5">
      <c r="A69" s="21" t="s">
        <v>10</v>
      </c>
      <c r="B69" s="9" t="s">
        <v>394</v>
      </c>
      <c r="C69" s="9" t="s">
        <v>398</v>
      </c>
      <c r="D69" s="10" t="s">
        <v>257</v>
      </c>
      <c r="E69" s="8" t="str">
        <f t="shared" si="1"/>
        <v>DISTRIBUTION-DRY_AHALA _TRANSFO N°1 90/15kV _AHA.D17 DAMASE</v>
      </c>
      <c r="F69" s="4"/>
    </row>
    <row r="70" spans="1:6" ht="25.5">
      <c r="A70" s="21" t="s">
        <v>10</v>
      </c>
      <c r="B70" s="9" t="s">
        <v>394</v>
      </c>
      <c r="C70" s="9" t="s">
        <v>398</v>
      </c>
      <c r="D70" s="10" t="s">
        <v>258</v>
      </c>
      <c r="E70" s="8" t="str">
        <f t="shared" si="1"/>
        <v>DISTRIBUTION-DRY_AHALA _TRANSFO N°1 90/15kV _AHA.D18 JOUVENCE</v>
      </c>
      <c r="F70" s="4"/>
    </row>
    <row r="71" spans="1:6" ht="25.5">
      <c r="A71" s="21" t="s">
        <v>10</v>
      </c>
      <c r="B71" s="9" t="s">
        <v>394</v>
      </c>
      <c r="C71" s="9" t="s">
        <v>399</v>
      </c>
      <c r="D71" s="10" t="s">
        <v>259</v>
      </c>
      <c r="E71" s="8" t="str">
        <f t="shared" si="1"/>
        <v>DISTRIBUTION-DRY_AHALA _TRANSFO N°2  15/30 KV _AHA.D31 MESSAMENDONGO</v>
      </c>
      <c r="F71" s="4"/>
    </row>
    <row r="72" spans="1:6" ht="25.5">
      <c r="A72" s="21" t="s">
        <v>10</v>
      </c>
      <c r="B72" s="9" t="s">
        <v>394</v>
      </c>
      <c r="C72" s="9" t="s">
        <v>399</v>
      </c>
      <c r="D72" s="10" t="s">
        <v>260</v>
      </c>
      <c r="E72" s="8" t="str">
        <f t="shared" si="1"/>
        <v>DISTRIBUTION-DRY_AHALA _TRANSFO N°2  15/30 KV _AHA.D32 MAKAK</v>
      </c>
      <c r="F72" s="4"/>
    </row>
    <row r="73" spans="1:6" ht="25.5">
      <c r="A73" s="21" t="s">
        <v>10</v>
      </c>
      <c r="B73" s="9" t="s">
        <v>20</v>
      </c>
      <c r="C73" s="9" t="s">
        <v>400</v>
      </c>
      <c r="D73" s="10" t="s">
        <v>386</v>
      </c>
      <c r="E73" s="8" t="str">
        <f t="shared" si="1"/>
        <v>DISTRIBUTION-DRY_NGOUSSO_TRANSFO N°2 90/15kV _NGOU.D11 P265</v>
      </c>
      <c r="F73" s="4"/>
    </row>
    <row r="74" spans="1:6" ht="25.5">
      <c r="A74" s="21" t="s">
        <v>10</v>
      </c>
      <c r="B74" s="9" t="s">
        <v>20</v>
      </c>
      <c r="C74" s="9" t="s">
        <v>400</v>
      </c>
      <c r="D74" s="10" t="s">
        <v>221</v>
      </c>
      <c r="E74" s="8" t="str">
        <f t="shared" si="1"/>
        <v>DISTRIBUTION-DRY_NGOUSSO_TRANSFO N°2 90/15kV _NGOU.D12 PRESIDENCE</v>
      </c>
      <c r="F74" s="4"/>
    </row>
    <row r="75" spans="1:6" ht="25.5">
      <c r="A75" s="21" t="s">
        <v>10</v>
      </c>
      <c r="B75" s="9" t="s">
        <v>20</v>
      </c>
      <c r="C75" s="9" t="s">
        <v>400</v>
      </c>
      <c r="D75" s="10" t="s">
        <v>222</v>
      </c>
      <c r="E75" s="8" t="str">
        <f t="shared" si="1"/>
        <v>DISTRIBUTION-DRY_NGOUSSO_TRANSFO N°2 90/15kV _NGOU.D13 ESSOS</v>
      </c>
      <c r="F75" s="4"/>
    </row>
    <row r="76" spans="1:6" ht="25.5">
      <c r="A76" s="21" t="s">
        <v>10</v>
      </c>
      <c r="B76" s="9" t="s">
        <v>20</v>
      </c>
      <c r="C76" s="9" t="s">
        <v>400</v>
      </c>
      <c r="D76" s="10" t="s">
        <v>387</v>
      </c>
      <c r="E76" s="8" t="str">
        <f t="shared" si="1"/>
        <v>DISTRIBUTION-DRY_NGOUSSO_TRANSFO N°2 90/15kV _NGOU.D14 P135</v>
      </c>
      <c r="F76" s="4"/>
    </row>
    <row r="77" spans="1:6" ht="25.5">
      <c r="A77" s="21" t="s">
        <v>10</v>
      </c>
      <c r="B77" s="9" t="s">
        <v>20</v>
      </c>
      <c r="C77" s="9" t="s">
        <v>400</v>
      </c>
      <c r="D77" s="10" t="s">
        <v>223</v>
      </c>
      <c r="E77" s="8" t="str">
        <f t="shared" si="1"/>
        <v>DISTRIBUTION-DRY_NGOUSSO_TRANSFO N°2 90/15kV _NGOU.D15 SAFCA / D115 STADE OLEMBE</v>
      </c>
      <c r="F77" s="4"/>
    </row>
    <row r="78" spans="1:6" ht="25.5">
      <c r="A78" s="21" t="s">
        <v>10</v>
      </c>
      <c r="B78" s="9" t="s">
        <v>20</v>
      </c>
      <c r="C78" s="9" t="s">
        <v>400</v>
      </c>
      <c r="D78" s="10" t="s">
        <v>224</v>
      </c>
      <c r="E78" s="8" t="str">
        <f t="shared" si="1"/>
        <v>DISTRIBUTION-DRY_NGOUSSO_TRANSFO N°2 90/15kV _NGOU.D110 P2 SNI</v>
      </c>
      <c r="F78" s="4"/>
    </row>
    <row r="79" spans="1:6" ht="25.5">
      <c r="A79" s="21" t="s">
        <v>10</v>
      </c>
      <c r="B79" s="9" t="s">
        <v>20</v>
      </c>
      <c r="C79" s="9" t="s">
        <v>400</v>
      </c>
      <c r="D79" s="10" t="s">
        <v>225</v>
      </c>
      <c r="E79" s="8" t="str">
        <f t="shared" si="1"/>
        <v>DISTRIBUTION-DRY_NGOUSSO_TRANSFO N°2 90/15kV _NGOU.D116 NGOULMEKONG</v>
      </c>
      <c r="F79" s="4"/>
    </row>
    <row r="80" spans="1:6" ht="25.5">
      <c r="A80" s="21" t="s">
        <v>10</v>
      </c>
      <c r="B80" s="9" t="s">
        <v>20</v>
      </c>
      <c r="C80" s="9" t="s">
        <v>401</v>
      </c>
      <c r="D80" s="10" t="s">
        <v>226</v>
      </c>
      <c r="E80" s="8" t="str">
        <f t="shared" si="1"/>
        <v>DISTRIBUTION-DRY_NGOUSSO_TRANSFO N°3 90/15kV _NGOU.D16 HOTEL DU PLATEAU</v>
      </c>
      <c r="F80" s="4"/>
    </row>
    <row r="81" spans="1:6" ht="25.5">
      <c r="A81" s="21" t="s">
        <v>10</v>
      </c>
      <c r="B81" s="9" t="s">
        <v>20</v>
      </c>
      <c r="C81" s="9" t="s">
        <v>401</v>
      </c>
      <c r="D81" s="10" t="s">
        <v>227</v>
      </c>
      <c r="E81" s="8" t="str">
        <f t="shared" si="1"/>
        <v>DISTRIBUTION-DRY_NGOUSSO_TRANSFO N°3 90/15kV _NGOU.D17 HOPITAL GENERAL</v>
      </c>
      <c r="F81" s="4"/>
    </row>
    <row r="82" spans="1:6" ht="25.5">
      <c r="A82" s="21" t="s">
        <v>10</v>
      </c>
      <c r="B82" s="9" t="s">
        <v>20</v>
      </c>
      <c r="C82" s="9" t="s">
        <v>401</v>
      </c>
      <c r="D82" s="10" t="s">
        <v>228</v>
      </c>
      <c r="E82" s="8" t="str">
        <f t="shared" si="1"/>
        <v>DISTRIBUTION-DRY_NGOUSSO_TRANSFO N°3 90/15kV _NGOU.D18 SOA</v>
      </c>
      <c r="F82" s="4"/>
    </row>
    <row r="83" spans="1:6" ht="25.5">
      <c r="A83" s="21" t="s">
        <v>10</v>
      </c>
      <c r="B83" s="9" t="s">
        <v>20</v>
      </c>
      <c r="C83" s="9" t="s">
        <v>401</v>
      </c>
      <c r="D83" s="10" t="s">
        <v>229</v>
      </c>
      <c r="E83" s="8" t="str">
        <f t="shared" si="1"/>
        <v>DISTRIBUTION-DRY_NGOUSSO_TRANSFO N°3 90/15kV _NGOU.D19 MANSEL HOTEL / D114 EMANA</v>
      </c>
      <c r="F83" s="4"/>
    </row>
    <row r="84" spans="1:6" ht="25.5">
      <c r="A84" s="21" t="s">
        <v>10</v>
      </c>
      <c r="B84" s="9" t="s">
        <v>20</v>
      </c>
      <c r="C84" s="9" t="s">
        <v>401</v>
      </c>
      <c r="D84" s="10" t="s">
        <v>230</v>
      </c>
      <c r="E84" s="8" t="str">
        <f t="shared" si="1"/>
        <v>DISTRIBUTION-DRY_NGOUSSO_TRANSFO N°3 90/15kV _NGOU.D111 BEAC</v>
      </c>
      <c r="F84" s="4"/>
    </row>
    <row r="85" spans="1:6" ht="25.5">
      <c r="A85" s="21" t="s">
        <v>10</v>
      </c>
      <c r="B85" s="9" t="s">
        <v>20</v>
      </c>
      <c r="C85" s="9" t="s">
        <v>401</v>
      </c>
      <c r="D85" s="10" t="s">
        <v>231</v>
      </c>
      <c r="E85" s="8" t="str">
        <f t="shared" si="1"/>
        <v>DISTRIBUTION-DRY_NGOUSSO_TRANSFO N°3 90/15kV _NGOU.D112 SNEC NGOUSSO / D113 MVOG EBANDA</v>
      </c>
      <c r="F85" s="4"/>
    </row>
    <row r="86" spans="1:6" ht="25.5">
      <c r="A86" s="21" t="s">
        <v>10</v>
      </c>
      <c r="B86" s="9" t="s">
        <v>20</v>
      </c>
      <c r="C86" s="9" t="s">
        <v>401</v>
      </c>
      <c r="D86" s="10" t="s">
        <v>232</v>
      </c>
      <c r="E86" s="8" t="str">
        <f t="shared" si="1"/>
        <v>DISTRIBUTION-DRY_NGOUSSO_TRANSFO N°3 90/15kV _NGOU.D117 NGOULMEKONG</v>
      </c>
      <c r="F86" s="4"/>
    </row>
    <row r="87" spans="1:6" ht="25.5">
      <c r="A87" s="21" t="s">
        <v>10</v>
      </c>
      <c r="B87" s="9" t="s">
        <v>20</v>
      </c>
      <c r="C87" s="9" t="s">
        <v>401</v>
      </c>
      <c r="D87" s="10" t="s">
        <v>233</v>
      </c>
      <c r="E87" s="8" t="str">
        <f t="shared" si="1"/>
        <v>DISTRIBUTION-DRY_NGOUSSO_TRANSFO N°3 90/15kV _NGOU.D118 HOPITAUX</v>
      </c>
      <c r="F87" s="4"/>
    </row>
    <row r="88" spans="1:6" ht="25.5">
      <c r="A88" s="21" t="s">
        <v>10</v>
      </c>
      <c r="B88" s="9" t="s">
        <v>21</v>
      </c>
      <c r="C88" s="9" t="s">
        <v>402</v>
      </c>
      <c r="D88" s="10" t="s">
        <v>234</v>
      </c>
      <c r="E88" s="8" t="str">
        <f t="shared" si="1"/>
        <v>DISTRIBUTION-DRY_KONDENGUI_TRANSFO  90/15kV  _KON.D11 KONDENGUI</v>
      </c>
      <c r="F88" s="4"/>
    </row>
    <row r="89" spans="1:6" ht="25.5">
      <c r="A89" s="21" t="s">
        <v>10</v>
      </c>
      <c r="B89" s="9" t="s">
        <v>21</v>
      </c>
      <c r="C89" s="9" t="s">
        <v>402</v>
      </c>
      <c r="D89" s="10" t="s">
        <v>235</v>
      </c>
      <c r="E89" s="8" t="str">
        <f t="shared" si="1"/>
        <v>DISTRIBUTION-DRY_KONDENGUI_TRANSFO  90/15kV  _KON.D12 ETAM BAFIA</v>
      </c>
      <c r="F89" s="4"/>
    </row>
    <row r="90" spans="1:6" ht="25.5">
      <c r="A90" s="21" t="s">
        <v>10</v>
      </c>
      <c r="B90" s="9" t="s">
        <v>21</v>
      </c>
      <c r="C90" s="9" t="s">
        <v>402</v>
      </c>
      <c r="D90" s="10" t="s">
        <v>236</v>
      </c>
      <c r="E90" s="8" t="str">
        <f t="shared" si="1"/>
        <v>DISTRIBUTION-DRY_KONDENGUI_TRANSFO  90/15kV  _KON.D13 P112 CORON</v>
      </c>
      <c r="F90" s="4"/>
    </row>
    <row r="91" spans="1:6" ht="25.5">
      <c r="A91" s="21" t="s">
        <v>10</v>
      </c>
      <c r="B91" s="9" t="s">
        <v>21</v>
      </c>
      <c r="C91" s="9" t="s">
        <v>402</v>
      </c>
      <c r="D91" s="10" t="s">
        <v>291</v>
      </c>
      <c r="E91" s="8" t="str">
        <f t="shared" si="1"/>
        <v>DISTRIBUTION-DRY_KONDENGUI_TRANSFO  90/15kV  _KON.D14 P9 MVOG MBI</v>
      </c>
      <c r="F91" s="4"/>
    </row>
    <row r="92" spans="1:6" ht="25.5">
      <c r="A92" s="21" t="s">
        <v>10</v>
      </c>
      <c r="B92" s="9" t="s">
        <v>21</v>
      </c>
      <c r="C92" s="9" t="s">
        <v>402</v>
      </c>
      <c r="D92" s="10" t="s">
        <v>237</v>
      </c>
      <c r="E92" s="8" t="str">
        <f t="shared" si="1"/>
        <v>DISTRIBUTION-DRY_KONDENGUI_TRANSFO  90/15kV  _KON.D15 P15 EKOUNOU</v>
      </c>
      <c r="F92" s="4"/>
    </row>
    <row r="93" spans="1:6" ht="25.5">
      <c r="A93" s="21" t="s">
        <v>10</v>
      </c>
      <c r="B93" s="9" t="s">
        <v>21</v>
      </c>
      <c r="C93" s="9" t="s">
        <v>402</v>
      </c>
      <c r="D93" s="10" t="s">
        <v>238</v>
      </c>
      <c r="E93" s="8" t="str">
        <f t="shared" si="1"/>
        <v>DISTRIBUTION-DRY_KONDENGUI_TRANSFO  90/15kV  _KON.D16 SNEC NKOAYOS</v>
      </c>
      <c r="F93" s="4"/>
    </row>
    <row r="94" spans="1:6" ht="25.5">
      <c r="A94" s="21" t="s">
        <v>10</v>
      </c>
      <c r="B94" s="9" t="s">
        <v>21</v>
      </c>
      <c r="C94" s="9" t="s">
        <v>402</v>
      </c>
      <c r="D94" s="10" t="s">
        <v>239</v>
      </c>
      <c r="E94" s="8" t="str">
        <f t="shared" si="1"/>
        <v>DISTRIBUTION-DRY_KONDENGUI_TRANSFO  90/15kV  _KON.D17 NKOABANG</v>
      </c>
      <c r="F94" s="4"/>
    </row>
    <row r="95" spans="1:6" ht="25.5">
      <c r="A95" s="21" t="s">
        <v>10</v>
      </c>
      <c r="B95" s="9" t="s">
        <v>21</v>
      </c>
      <c r="C95" s="9" t="s">
        <v>402</v>
      </c>
      <c r="D95" s="10" t="s">
        <v>240</v>
      </c>
      <c r="E95" s="8" t="str">
        <f t="shared" si="1"/>
        <v>DISTRIBUTION-DRY_KONDENGUI_TRANSFO  90/15kV  _KON.D112 BRASSERIES</v>
      </c>
      <c r="F95" s="4"/>
    </row>
    <row r="96" spans="1:6" ht="25.5">
      <c r="A96" s="21" t="s">
        <v>10</v>
      </c>
      <c r="B96" s="8" t="s">
        <v>22</v>
      </c>
      <c r="C96" s="8" t="s">
        <v>403</v>
      </c>
      <c r="D96" s="10" t="s">
        <v>241</v>
      </c>
      <c r="E96" s="8" t="str">
        <f t="shared" si="1"/>
        <v>DISTRIBUTION-DRY_NSIMALEN_TRANSFO N°1 90/15kV   _NSI.D11 AEROGARE</v>
      </c>
      <c r="F96" s="4"/>
    </row>
    <row r="97" spans="1:6" ht="25.5">
      <c r="A97" s="21" t="s">
        <v>10</v>
      </c>
      <c r="B97" s="8" t="s">
        <v>22</v>
      </c>
      <c r="C97" s="8" t="s">
        <v>492</v>
      </c>
      <c r="D97" s="10" t="s">
        <v>242</v>
      </c>
      <c r="E97" s="8" t="str">
        <f t="shared" si="1"/>
        <v>DISTRIBUTION-DRY_NSIMALEN_TRANSFO N°2 15/30kV   _NSI.D31 MBALMAYO</v>
      </c>
      <c r="F97" s="4"/>
    </row>
    <row r="98" spans="1:6" ht="25.5">
      <c r="A98" s="21" t="s">
        <v>10</v>
      </c>
      <c r="B98" s="8" t="s">
        <v>22</v>
      </c>
      <c r="C98" s="8" t="s">
        <v>492</v>
      </c>
      <c r="D98" s="10" t="s">
        <v>243</v>
      </c>
      <c r="E98" s="8" t="str">
        <f t="shared" si="1"/>
        <v>DISTRIBUTION-DRY_NSIMALEN_TRANSFO N°2 15/30kV   _NSI.D32 YAOUNDE</v>
      </c>
      <c r="F98" s="4"/>
    </row>
    <row r="99" spans="1:6" ht="25.5">
      <c r="A99" s="21" t="s">
        <v>10</v>
      </c>
      <c r="B99" s="9" t="s">
        <v>23</v>
      </c>
      <c r="C99" s="9" t="s">
        <v>404</v>
      </c>
      <c r="D99" s="10" t="s">
        <v>292</v>
      </c>
      <c r="E99" s="8" t="str">
        <f t="shared" si="1"/>
        <v>DISTRIBUTION-DRY_NOMAYOS_TRANSFO  90/30kV_NOM.D31 CIMENCAM</v>
      </c>
      <c r="F99" s="4"/>
    </row>
    <row r="100" spans="1:6" ht="25.5">
      <c r="A100" s="21" t="s">
        <v>10</v>
      </c>
      <c r="B100" s="9" t="s">
        <v>23</v>
      </c>
      <c r="C100" s="9" t="s">
        <v>404</v>
      </c>
      <c r="D100" s="10" t="s">
        <v>293</v>
      </c>
      <c r="E100" s="8" t="str">
        <f t="shared" si="1"/>
        <v>DISTRIBUTION-DRY_NOMAYOS_TRANSFO  90/30kV_NOM.D32 - AHALA II</v>
      </c>
      <c r="F100" s="4"/>
    </row>
    <row r="101" spans="1:6" ht="15.75">
      <c r="A101" s="21" t="s">
        <v>10</v>
      </c>
      <c r="B101" s="9" t="s">
        <v>23</v>
      </c>
      <c r="C101" s="9" t="s">
        <v>404</v>
      </c>
      <c r="D101" s="10" t="s">
        <v>294</v>
      </c>
      <c r="E101" s="8" t="str">
        <f t="shared" si="1"/>
        <v>DISTRIBUTION-DRY_NOMAYOS_TRANSFO  90/30kV_NOM.AHALA I</v>
      </c>
      <c r="F101" s="4"/>
    </row>
    <row r="102" spans="1:6" ht="15.75">
      <c r="A102" s="21" t="s">
        <v>10</v>
      </c>
      <c r="B102" s="9" t="s">
        <v>395</v>
      </c>
      <c r="C102" s="9" t="s">
        <v>495</v>
      </c>
      <c r="D102" s="10" t="s">
        <v>244</v>
      </c>
      <c r="E102" s="8" t="str">
        <f t="shared" si="1"/>
        <v>DISTRIBUTION-DRY_NYOM_TRANSFO 225/15kV _NYO.D31 NYOM</v>
      </c>
      <c r="F102" s="4"/>
    </row>
    <row r="103" spans="1:6" ht="15.75">
      <c r="A103" s="21" t="s">
        <v>10</v>
      </c>
      <c r="B103" s="9" t="s">
        <v>395</v>
      </c>
      <c r="C103" s="9" t="s">
        <v>495</v>
      </c>
      <c r="D103" s="10" t="s">
        <v>245</v>
      </c>
      <c r="E103" s="8" t="str">
        <f t="shared" si="1"/>
        <v>DISTRIBUTION-DRY_NYOM_TRANSFO 225/15kV _NYO.D32 AKAK</v>
      </c>
      <c r="F103" s="4"/>
    </row>
    <row r="104" spans="1:6" ht="15.75">
      <c r="A104" s="21" t="s">
        <v>10</v>
      </c>
      <c r="B104" s="9" t="s">
        <v>395</v>
      </c>
      <c r="C104" s="9" t="s">
        <v>495</v>
      </c>
      <c r="D104" s="10" t="s">
        <v>246</v>
      </c>
      <c r="E104" s="8" t="str">
        <f t="shared" si="1"/>
        <v>DISTRIBUTION-DRY_NYOM_TRANSFO 225/15kV _NYO.D33 PAEPYS</v>
      </c>
      <c r="F104" s="4"/>
    </row>
    <row r="105" spans="1:6" ht="25.5">
      <c r="A105" s="21" t="s">
        <v>10</v>
      </c>
      <c r="B105" s="9" t="s">
        <v>24</v>
      </c>
      <c r="C105" s="9" t="s">
        <v>405</v>
      </c>
      <c r="D105" s="10" t="s">
        <v>247</v>
      </c>
      <c r="E105" s="8" t="str">
        <f t="shared" si="1"/>
        <v>DISTRIBUTION-DRY_OYOMABANG_TRANSFO  90/15kV _OYO.D11 OYOMABANG</v>
      </c>
      <c r="F105" s="4"/>
    </row>
    <row r="106" spans="1:6" ht="25.5">
      <c r="A106" s="21" t="s">
        <v>10</v>
      </c>
      <c r="B106" s="9" t="s">
        <v>24</v>
      </c>
      <c r="C106" s="9" t="s">
        <v>405</v>
      </c>
      <c r="D106" s="10" t="s">
        <v>248</v>
      </c>
      <c r="E106" s="8" t="str">
        <f t="shared" si="1"/>
        <v>DISTRIBUTION-DRY_OYOMABANG_TRANSFO  90/15kV _OYO.D12 OYOMABANG</v>
      </c>
      <c r="F106" s="4"/>
    </row>
    <row r="107" spans="1:6" ht="25.5">
      <c r="A107" s="21" t="s">
        <v>10</v>
      </c>
      <c r="B107" s="9" t="s">
        <v>24</v>
      </c>
      <c r="C107" s="9" t="s">
        <v>405</v>
      </c>
      <c r="D107" s="10" t="s">
        <v>249</v>
      </c>
      <c r="E107" s="8" t="str">
        <f t="shared" si="1"/>
        <v>DISTRIBUTION-DRY_OYOMABANG_TRANSFO  90/15kV _OYO.D13 OYOMABANG</v>
      </c>
      <c r="F107" s="4"/>
    </row>
    <row r="108" spans="1:6" ht="25.5">
      <c r="A108" s="21" t="s">
        <v>10</v>
      </c>
      <c r="B108" s="9" t="s">
        <v>24</v>
      </c>
      <c r="C108" s="9" t="s">
        <v>405</v>
      </c>
      <c r="D108" s="10" t="s">
        <v>250</v>
      </c>
      <c r="E108" s="8" t="str">
        <f t="shared" si="1"/>
        <v>DISTRIBUTION-DRY_OYOMABANG_TRANSFO  90/15kV _OYO.D14 OYOMABANG</v>
      </c>
      <c r="F108" s="4"/>
    </row>
    <row r="109" spans="1:6" ht="25.5">
      <c r="A109" s="21" t="s">
        <v>11</v>
      </c>
      <c r="B109" s="9" t="s">
        <v>25</v>
      </c>
      <c r="C109" s="9" t="s">
        <v>398</v>
      </c>
      <c r="D109" s="10" t="s">
        <v>304</v>
      </c>
      <c r="E109" s="8" t="str">
        <f t="shared" si="1"/>
        <v>DISTRIBUTION-DRD_KOUMASSI_TRANSFO N°1 90/15kV _KOU.D 122 VALLEE BONANJO</v>
      </c>
      <c r="F109" s="4"/>
    </row>
    <row r="110" spans="1:6" ht="25.5">
      <c r="A110" s="21" t="s">
        <v>11</v>
      </c>
      <c r="B110" s="9" t="s">
        <v>25</v>
      </c>
      <c r="C110" s="9" t="s">
        <v>398</v>
      </c>
      <c r="D110" s="10" t="s">
        <v>37</v>
      </c>
      <c r="E110" s="8" t="str">
        <f t="shared" si="1"/>
        <v>DISTRIBUTION-DRD_KOUMASSI_TRANSFO N°1 90/15kV _KOU.D123 KOUMASSI RAIL</v>
      </c>
      <c r="F110" s="4"/>
    </row>
    <row r="111" spans="1:6" ht="25.5">
      <c r="A111" s="21" t="s">
        <v>11</v>
      </c>
      <c r="B111" s="9" t="s">
        <v>25</v>
      </c>
      <c r="C111" s="9" t="s">
        <v>398</v>
      </c>
      <c r="D111" s="10" t="s">
        <v>38</v>
      </c>
      <c r="E111" s="8" t="str">
        <f t="shared" si="1"/>
        <v>DISTRIBUTION-DRD_KOUMASSI_TRANSFO N°1 90/15kV _KOU.D12 AKWA</v>
      </c>
      <c r="F111" s="4"/>
    </row>
    <row r="112" spans="1:6" ht="25.5">
      <c r="A112" s="21" t="s">
        <v>11</v>
      </c>
      <c r="B112" s="9" t="s">
        <v>25</v>
      </c>
      <c r="C112" s="9" t="s">
        <v>398</v>
      </c>
      <c r="D112" s="10" t="s">
        <v>49</v>
      </c>
      <c r="E112" s="8" t="str">
        <f t="shared" si="1"/>
        <v>DISTRIBUTION-DRD_KOUMASSI_TRANSFO N°1 90/15kV _KOU.D11 SONEL BUREAU</v>
      </c>
      <c r="F112" s="4"/>
    </row>
    <row r="113" spans="1:6" ht="25.5">
      <c r="A113" s="21" t="s">
        <v>11</v>
      </c>
      <c r="B113" s="9" t="s">
        <v>25</v>
      </c>
      <c r="C113" s="9" t="s">
        <v>398</v>
      </c>
      <c r="D113" s="10" t="s">
        <v>388</v>
      </c>
      <c r="E113" s="8" t="str">
        <f t="shared" si="1"/>
        <v>DISTRIBUTION-DRD_KOUMASSI_TRANSFO N°1 90/15kV _KOU.D13 BK3</v>
      </c>
      <c r="F113" s="4"/>
    </row>
    <row r="114" spans="1:6" ht="25.5">
      <c r="A114" s="21" t="s">
        <v>11</v>
      </c>
      <c r="B114" s="9" t="s">
        <v>25</v>
      </c>
      <c r="C114" s="9" t="s">
        <v>398</v>
      </c>
      <c r="D114" s="10" t="s">
        <v>50</v>
      </c>
      <c r="E114" s="8" t="str">
        <f t="shared" si="1"/>
        <v>DISTRIBUTION-DRD_KOUMASSI_TRANSFO N°1 90/15kV _KOU.D17 DEIDO</v>
      </c>
      <c r="F114" s="4"/>
    </row>
    <row r="115" spans="1:6" ht="25.5">
      <c r="A115" s="21" t="s">
        <v>11</v>
      </c>
      <c r="B115" s="9" t="s">
        <v>25</v>
      </c>
      <c r="C115" s="9" t="s">
        <v>398</v>
      </c>
      <c r="D115" s="10" t="s">
        <v>51</v>
      </c>
      <c r="E115" s="8" t="str">
        <f t="shared" si="1"/>
        <v>DISTRIBUTION-DRD_KOUMASSI_TRANSFO N°1 90/15kV _KOU.D18 LOWE</v>
      </c>
      <c r="F115" s="4"/>
    </row>
    <row r="116" spans="1:6" ht="25.5">
      <c r="A116" s="21" t="s">
        <v>11</v>
      </c>
      <c r="B116" s="9" t="s">
        <v>25</v>
      </c>
      <c r="C116" s="9" t="s">
        <v>398</v>
      </c>
      <c r="D116" s="10" t="s">
        <v>52</v>
      </c>
      <c r="E116" s="8" t="str">
        <f t="shared" si="1"/>
        <v>DISTRIBUTION-DRD_KOUMASSI_TRANSFO N°1 90/15kV _KOU.D19 LYCEE SAVIO</v>
      </c>
      <c r="F116" s="4"/>
    </row>
    <row r="117" spans="1:6" ht="25.5">
      <c r="A117" s="21" t="s">
        <v>11</v>
      </c>
      <c r="B117" s="9" t="s">
        <v>25</v>
      </c>
      <c r="C117" s="9" t="s">
        <v>398</v>
      </c>
      <c r="D117" s="10" t="s">
        <v>53</v>
      </c>
      <c r="E117" s="8" t="str">
        <f t="shared" si="1"/>
        <v>DISTRIBUTION-DRD_KOUMASSI_TRANSFO N°1 90/15kV _KOU.D110 LYCEE TECHNIQUE</v>
      </c>
      <c r="F117" s="4"/>
    </row>
    <row r="118" spans="1:6" ht="25.5">
      <c r="A118" s="21" t="s">
        <v>11</v>
      </c>
      <c r="B118" s="9" t="s">
        <v>25</v>
      </c>
      <c r="C118" s="9" t="s">
        <v>398</v>
      </c>
      <c r="D118" s="10" t="s">
        <v>54</v>
      </c>
      <c r="E118" s="8" t="str">
        <f t="shared" si="1"/>
        <v>DISTRIBUTION-DRD_KOUMASSI_TRANSFO N°1 90/15kV _KOU.D111 NDOUMBE EPEE</v>
      </c>
      <c r="F118" s="4"/>
    </row>
    <row r="119" spans="1:6" ht="25.5">
      <c r="A119" s="21" t="s">
        <v>11</v>
      </c>
      <c r="B119" s="9" t="s">
        <v>25</v>
      </c>
      <c r="C119" s="9" t="s">
        <v>398</v>
      </c>
      <c r="D119" s="10" t="s">
        <v>55</v>
      </c>
      <c r="E119" s="8" t="str">
        <f t="shared" si="1"/>
        <v>DISTRIBUTION-DRD_KOUMASSI_TRANSFO N°1 90/15kV _KOU.D113 SERPENTS</v>
      </c>
      <c r="F119" s="4"/>
    </row>
    <row r="120" spans="1:6" ht="25.5">
      <c r="A120" s="21" t="s">
        <v>11</v>
      </c>
      <c r="B120" s="9" t="s">
        <v>25</v>
      </c>
      <c r="C120" s="9" t="s">
        <v>398</v>
      </c>
      <c r="D120" s="10" t="s">
        <v>56</v>
      </c>
      <c r="E120" s="8" t="str">
        <f t="shared" si="1"/>
        <v>DISTRIBUTION-DRD_KOUMASSI_TRANSFO N°1 90/15kV _KOU.D117 ST MICHEL</v>
      </c>
      <c r="F120" s="4"/>
    </row>
    <row r="121" spans="1:6" ht="15.75">
      <c r="A121" s="21" t="s">
        <v>11</v>
      </c>
      <c r="B121" s="9" t="s">
        <v>25</v>
      </c>
      <c r="C121" s="9" t="s">
        <v>397</v>
      </c>
      <c r="D121" s="10" t="s">
        <v>389</v>
      </c>
      <c r="E121" s="8" t="str">
        <f t="shared" si="1"/>
        <v>DISTRIBUTION-DRD_KOUMASSI_TRANSFO N°2 90/15kV_KOU.D14 BK4</v>
      </c>
      <c r="F121" s="4"/>
    </row>
    <row r="122" spans="1:6" ht="25.5">
      <c r="A122" s="21" t="s">
        <v>11</v>
      </c>
      <c r="B122" s="9" t="s">
        <v>25</v>
      </c>
      <c r="C122" s="9" t="s">
        <v>397</v>
      </c>
      <c r="D122" s="10" t="s">
        <v>39</v>
      </c>
      <c r="E122" s="8" t="str">
        <f t="shared" si="1"/>
        <v>DISTRIBUTION-DRD_KOUMASSI_TRANSFO N°2 90/15kV_KOU.D15 BRASSERIES</v>
      </c>
      <c r="F122" s="4"/>
    </row>
    <row r="123" spans="1:6" ht="25.5">
      <c r="A123" s="21" t="s">
        <v>11</v>
      </c>
      <c r="B123" s="9" t="s">
        <v>25</v>
      </c>
      <c r="C123" s="9" t="s">
        <v>397</v>
      </c>
      <c r="D123" s="10" t="s">
        <v>40</v>
      </c>
      <c r="E123" s="8" t="str">
        <f t="shared" si="1"/>
        <v>DISTRIBUTION-DRD_KOUMASSI_TRANSFO N°2 90/15kV_KOU.D16 CNPS</v>
      </c>
      <c r="F123" s="4"/>
    </row>
    <row r="124" spans="1:6" ht="25.5">
      <c r="A124" s="21" t="s">
        <v>11</v>
      </c>
      <c r="B124" s="9" t="s">
        <v>25</v>
      </c>
      <c r="C124" s="9" t="s">
        <v>397</v>
      </c>
      <c r="D124" s="10" t="s">
        <v>41</v>
      </c>
      <c r="E124" s="8" t="str">
        <f t="shared" si="1"/>
        <v>DISTRIBUTION-DRD_KOUMASSI_TRANSFO N°2 90/15kV_KOU.D112 NGOLLE</v>
      </c>
      <c r="F124" s="4"/>
    </row>
    <row r="125" spans="1:6" ht="25.5">
      <c r="A125" s="21" t="s">
        <v>11</v>
      </c>
      <c r="B125" s="9" t="s">
        <v>25</v>
      </c>
      <c r="C125" s="9" t="s">
        <v>397</v>
      </c>
      <c r="D125" s="10" t="s">
        <v>42</v>
      </c>
      <c r="E125" s="8" t="str">
        <f t="shared" si="1"/>
        <v>DISTRIBUTION-DRD_KOUMASSI_TRANSFO N°2 90/15kV_KOU.D114 SNCDV</v>
      </c>
      <c r="F125" s="4"/>
    </row>
    <row r="126" spans="1:6" ht="25.5">
      <c r="A126" s="21" t="s">
        <v>11</v>
      </c>
      <c r="B126" s="9" t="s">
        <v>25</v>
      </c>
      <c r="C126" s="9" t="s">
        <v>397</v>
      </c>
      <c r="D126" s="10" t="s">
        <v>43</v>
      </c>
      <c r="E126" s="8" t="str">
        <f t="shared" si="1"/>
        <v>DISTRIBUTION-DRD_KOUMASSI_TRANSFO N°2 90/15kV_KOU.D115 SNEC ASTREINTE</v>
      </c>
      <c r="F126" s="4"/>
    </row>
    <row r="127" spans="1:6" ht="25.5">
      <c r="A127" s="21" t="s">
        <v>11</v>
      </c>
      <c r="B127" s="9" t="s">
        <v>25</v>
      </c>
      <c r="C127" s="9" t="s">
        <v>397</v>
      </c>
      <c r="D127" s="10" t="s">
        <v>44</v>
      </c>
      <c r="E127" s="8" t="str">
        <f t="shared" si="1"/>
        <v>DISTRIBUTION-DRD_KOUMASSI_TRANSFO N°2 90/15kV_KOU.D116 AVIATION</v>
      </c>
      <c r="F127" s="4"/>
    </row>
    <row r="128" spans="1:6" ht="25.5">
      <c r="A128" s="21" t="s">
        <v>11</v>
      </c>
      <c r="B128" s="9" t="s">
        <v>25</v>
      </c>
      <c r="C128" s="9" t="s">
        <v>397</v>
      </c>
      <c r="D128" s="10" t="s">
        <v>45</v>
      </c>
      <c r="E128" s="8" t="str">
        <f t="shared" si="1"/>
        <v>DISTRIBUTION-DRD_KOUMASSI_TRANSFO N°2 90/15kV_KOU.D18 KITCHNER</v>
      </c>
      <c r="F128" s="4"/>
    </row>
    <row r="129" spans="1:6" ht="25.5">
      <c r="A129" s="21" t="s">
        <v>11</v>
      </c>
      <c r="B129" s="9" t="s">
        <v>25</v>
      </c>
      <c r="C129" s="9" t="s">
        <v>397</v>
      </c>
      <c r="D129" s="10" t="s">
        <v>46</v>
      </c>
      <c r="E129" s="8" t="str">
        <f t="shared" si="1"/>
        <v>DISTRIBUTION-DRD_KOUMASSI_TRANSFO N°2 90/15kV_KOU.D119 MEDCEM</v>
      </c>
      <c r="F129" s="4"/>
    </row>
    <row r="130" spans="1:6" ht="25.5">
      <c r="A130" s="21" t="s">
        <v>11</v>
      </c>
      <c r="B130" s="9" t="s">
        <v>25</v>
      </c>
      <c r="C130" s="9" t="s">
        <v>397</v>
      </c>
      <c r="D130" s="10" t="s">
        <v>47</v>
      </c>
      <c r="E130" s="8" t="str">
        <f t="shared" si="1"/>
        <v>DISTRIBUTION-DRD_KOUMASSI_TRANSFO N°2 90/15kV_KOU.D120 CIMENTERIE MIRA</v>
      </c>
      <c r="F130" s="4"/>
    </row>
    <row r="131" spans="1:6" ht="25.5">
      <c r="A131" s="21" t="s">
        <v>11</v>
      </c>
      <c r="B131" s="9" t="s">
        <v>25</v>
      </c>
      <c r="C131" s="9" t="s">
        <v>397</v>
      </c>
      <c r="D131" s="10" t="s">
        <v>48</v>
      </c>
      <c r="E131" s="8" t="str">
        <f t="shared" si="1"/>
        <v>DISTRIBUTION-DRD_KOUMASSI_TRANSFO N°2 90/15kV_KOU.D121 YABASSI</v>
      </c>
      <c r="F131" s="4"/>
    </row>
    <row r="132" spans="1:6" ht="25.5">
      <c r="A132" s="21" t="s">
        <v>11</v>
      </c>
      <c r="B132" s="9" t="s">
        <v>26</v>
      </c>
      <c r="C132" s="9" t="s">
        <v>396</v>
      </c>
      <c r="D132" s="10" t="s">
        <v>33</v>
      </c>
      <c r="E132" s="8" t="str">
        <f t="shared" ref="E132:E195" si="2">A132&amp;"_"&amp;B132&amp;"_"&amp;C132&amp;"_"&amp;D132</f>
        <v>DISTRIBUTION-DRD_BASSA_TRANSFO N°1 90/15kV_BAS.D118JAPOMA</v>
      </c>
      <c r="F132" s="4"/>
    </row>
    <row r="133" spans="1:6" ht="25.5">
      <c r="A133" s="21" t="s">
        <v>11</v>
      </c>
      <c r="B133" s="9" t="s">
        <v>26</v>
      </c>
      <c r="C133" s="9" t="s">
        <v>396</v>
      </c>
      <c r="D133" s="10" t="s">
        <v>34</v>
      </c>
      <c r="E133" s="8" t="str">
        <f t="shared" si="2"/>
        <v>DISTRIBUTION-DRD_BASSA_TRANSFO N°1 90/15kV_BAS.D11BASSA NORD</v>
      </c>
      <c r="F133" s="4"/>
    </row>
    <row r="134" spans="1:6" ht="15.75">
      <c r="A134" s="21" t="s">
        <v>11</v>
      </c>
      <c r="B134" s="9" t="s">
        <v>26</v>
      </c>
      <c r="C134" s="9" t="s">
        <v>396</v>
      </c>
      <c r="D134" s="10" t="s">
        <v>35</v>
      </c>
      <c r="E134" s="8" t="str">
        <f t="shared" si="2"/>
        <v>DISTRIBUTION-DRD_BASSA_TRANSFO N°1 90/15kV_BAS.D16SNEC</v>
      </c>
      <c r="F134" s="4"/>
    </row>
    <row r="135" spans="1:6" ht="15.75">
      <c r="A135" s="21" t="s">
        <v>11</v>
      </c>
      <c r="B135" s="9" t="s">
        <v>26</v>
      </c>
      <c r="C135" s="9" t="s">
        <v>396</v>
      </c>
      <c r="D135" s="11" t="s">
        <v>36</v>
      </c>
      <c r="E135" s="8" t="str">
        <f t="shared" si="2"/>
        <v>DISTRIBUTION-DRD_BASSA_TRANSFO N°1 90/15kV_BAS.D17POLANO</v>
      </c>
      <c r="F135" s="4"/>
    </row>
    <row r="136" spans="1:6" ht="25.5">
      <c r="A136" s="21" t="s">
        <v>11</v>
      </c>
      <c r="B136" s="9" t="s">
        <v>26</v>
      </c>
      <c r="C136" s="9" t="s">
        <v>400</v>
      </c>
      <c r="D136" s="10" t="s">
        <v>57</v>
      </c>
      <c r="E136" s="8" t="str">
        <f t="shared" si="2"/>
        <v>DISTRIBUTION-DRD_BASSA_TRANSFO N°2 90/15kV _BAS.D121 ACIERIES</v>
      </c>
      <c r="F136" s="4"/>
    </row>
    <row r="137" spans="1:6" ht="25.5">
      <c r="A137" s="21" t="s">
        <v>11</v>
      </c>
      <c r="B137" s="9" t="s">
        <v>26</v>
      </c>
      <c r="C137" s="9" t="s">
        <v>400</v>
      </c>
      <c r="D137" s="10" t="s">
        <v>58</v>
      </c>
      <c r="E137" s="8" t="str">
        <f t="shared" si="2"/>
        <v>DISTRIBUTION-DRD_BASSA_TRANSFO N°2 90/15kV _BAS.D14STADE BEPANDA</v>
      </c>
      <c r="F137" s="4"/>
    </row>
    <row r="138" spans="1:6" ht="25.5">
      <c r="A138" s="21" t="s">
        <v>11</v>
      </c>
      <c r="B138" s="9" t="s">
        <v>26</v>
      </c>
      <c r="C138" s="9" t="s">
        <v>400</v>
      </c>
      <c r="D138" s="10" t="s">
        <v>59</v>
      </c>
      <c r="E138" s="8" t="str">
        <f t="shared" si="2"/>
        <v>DISTRIBUTION-DRD_BASSA_TRANSFO N°2 90/15kV _BAS.D126GRAND MALL</v>
      </c>
      <c r="F138" s="4"/>
    </row>
    <row r="139" spans="1:6" ht="25.5">
      <c r="A139" s="21" t="s">
        <v>11</v>
      </c>
      <c r="B139" s="9" t="s">
        <v>26</v>
      </c>
      <c r="C139" s="9" t="s">
        <v>400</v>
      </c>
      <c r="D139" s="10" t="s">
        <v>60</v>
      </c>
      <c r="E139" s="8" t="str">
        <f t="shared" si="2"/>
        <v>DISTRIBUTION-DRD_BASSA_TRANSFO N°2 90/15kV _BAS.D127 OYACK MEDUSE</v>
      </c>
      <c r="F139" s="4"/>
    </row>
    <row r="140" spans="1:6" ht="15.75">
      <c r="A140" s="21" t="s">
        <v>11</v>
      </c>
      <c r="B140" s="9" t="s">
        <v>26</v>
      </c>
      <c r="C140" s="9" t="s">
        <v>400</v>
      </c>
      <c r="D140" s="10" t="s">
        <v>390</v>
      </c>
      <c r="E140" s="8" t="str">
        <f t="shared" si="2"/>
        <v>DISTRIBUTION-DRD_BASSA_TRANSFO N°2 90/15kV _BAS.D12BK3</v>
      </c>
      <c r="F140" s="4"/>
    </row>
    <row r="141" spans="1:6" ht="15.75">
      <c r="A141" s="21" t="s">
        <v>11</v>
      </c>
      <c r="B141" s="9" t="s">
        <v>26</v>
      </c>
      <c r="C141" s="9" t="s">
        <v>400</v>
      </c>
      <c r="D141" s="10" t="s">
        <v>391</v>
      </c>
      <c r="E141" s="8" t="str">
        <f t="shared" si="2"/>
        <v>DISTRIBUTION-DRD_BASSA_TRANSFO N°2 90/15kV _BAS.D13BK4</v>
      </c>
      <c r="F141" s="4"/>
    </row>
    <row r="142" spans="1:6" ht="25.5">
      <c r="A142" s="21" t="s">
        <v>11</v>
      </c>
      <c r="B142" s="9" t="s">
        <v>26</v>
      </c>
      <c r="C142" s="9" t="s">
        <v>400</v>
      </c>
      <c r="D142" s="10" t="s">
        <v>61</v>
      </c>
      <c r="E142" s="8" t="str">
        <f t="shared" si="2"/>
        <v>DISTRIBUTION-DRD_BASSA_TRANSFO N°2 90/15kV _BAS.D18PROFOR</v>
      </c>
      <c r="F142" s="4"/>
    </row>
    <row r="143" spans="1:6" ht="25.5">
      <c r="A143" s="21" t="s">
        <v>11</v>
      </c>
      <c r="B143" s="9" t="s">
        <v>26</v>
      </c>
      <c r="C143" s="9" t="s">
        <v>400</v>
      </c>
      <c r="D143" s="10" t="s">
        <v>62</v>
      </c>
      <c r="E143" s="8" t="str">
        <f t="shared" si="2"/>
        <v>DISTRIBUTION-DRD_BASSA_TRANSFO N°2 90/15kV _BAS.D111SCIMPOS</v>
      </c>
      <c r="F143" s="4"/>
    </row>
    <row r="144" spans="1:6" ht="25.5">
      <c r="A144" s="21" t="s">
        <v>11</v>
      </c>
      <c r="B144" s="9" t="s">
        <v>26</v>
      </c>
      <c r="C144" s="9" t="s">
        <v>400</v>
      </c>
      <c r="D144" s="10" t="s">
        <v>63</v>
      </c>
      <c r="E144" s="8" t="str">
        <f t="shared" si="2"/>
        <v>DISTRIBUTION-DRD_BASSA_TRANSFO N°2 90/15kV _BAS.D116DUMEZ</v>
      </c>
      <c r="F144" s="4"/>
    </row>
    <row r="145" spans="1:6" ht="25.5">
      <c r="A145" s="21" t="s">
        <v>11</v>
      </c>
      <c r="B145" s="9" t="s">
        <v>26</v>
      </c>
      <c r="C145" s="9" t="s">
        <v>400</v>
      </c>
      <c r="D145" s="10" t="s">
        <v>64</v>
      </c>
      <c r="E145" s="8" t="str">
        <f t="shared" si="2"/>
        <v>DISTRIBUTION-DRD_BASSA_TRANSFO N°2 90/15kV _BAS.D124VIETEL</v>
      </c>
      <c r="F145" s="4"/>
    </row>
    <row r="146" spans="1:6" ht="25.5">
      <c r="A146" s="21" t="s">
        <v>11</v>
      </c>
      <c r="B146" s="9" t="s">
        <v>26</v>
      </c>
      <c r="C146" s="9" t="s">
        <v>400</v>
      </c>
      <c r="D146" s="10" t="s">
        <v>65</v>
      </c>
      <c r="E146" s="8" t="str">
        <f t="shared" si="2"/>
        <v>DISTRIBUTION-DRD_BASSA_TRANSFO N°2 90/15kV _BAS.D15ST MICHEL</v>
      </c>
      <c r="F146" s="4"/>
    </row>
    <row r="147" spans="1:6" ht="25.5">
      <c r="A147" s="21" t="s">
        <v>11</v>
      </c>
      <c r="B147" s="9" t="s">
        <v>26</v>
      </c>
      <c r="C147" s="9" t="s">
        <v>406</v>
      </c>
      <c r="D147" s="10" t="s">
        <v>66</v>
      </c>
      <c r="E147" s="8" t="str">
        <f t="shared" si="2"/>
        <v>DISTRIBUTION-DRD_BASSA_TRANSFO N°3 90/15kV_BAS.D110GUINNESS</v>
      </c>
      <c r="F147" s="4"/>
    </row>
    <row r="148" spans="1:6" ht="15.75">
      <c r="A148" s="21" t="s">
        <v>11</v>
      </c>
      <c r="B148" s="9" t="s">
        <v>26</v>
      </c>
      <c r="C148" s="9" t="s">
        <v>406</v>
      </c>
      <c r="D148" s="10" t="s">
        <v>67</v>
      </c>
      <c r="E148" s="8" t="str">
        <f t="shared" si="2"/>
        <v>DISTRIBUTION-DRD_BASSA_TRANSFO N°3 90/15kV_BAS.D115TP</v>
      </c>
      <c r="F148" s="4"/>
    </row>
    <row r="149" spans="1:6" ht="25.5">
      <c r="A149" s="21" t="s">
        <v>11</v>
      </c>
      <c r="B149" s="9" t="s">
        <v>26</v>
      </c>
      <c r="C149" s="9" t="s">
        <v>406</v>
      </c>
      <c r="D149" s="10" t="s">
        <v>68</v>
      </c>
      <c r="E149" s="8" t="str">
        <f t="shared" si="2"/>
        <v>DISTRIBUTION-DRD_BASSA_TRANSFO N°3 90/15kV_BAS.D117MASSOUMBOU</v>
      </c>
      <c r="F149" s="4"/>
    </row>
    <row r="150" spans="1:6" ht="25.5">
      <c r="A150" s="21" t="s">
        <v>11</v>
      </c>
      <c r="B150" s="9" t="s">
        <v>26</v>
      </c>
      <c r="C150" s="9" t="s">
        <v>406</v>
      </c>
      <c r="D150" s="10" t="s">
        <v>69</v>
      </c>
      <c r="E150" s="8" t="str">
        <f t="shared" si="2"/>
        <v>DISTRIBUTION-DRD_BASSA_TRANSFO N°3 90/15kV_BAS.D122COMAGRI</v>
      </c>
      <c r="F150" s="4"/>
    </row>
    <row r="151" spans="1:6" ht="25.5">
      <c r="A151" s="21" t="s">
        <v>11</v>
      </c>
      <c r="B151" s="9" t="s">
        <v>26</v>
      </c>
      <c r="C151" s="9" t="s">
        <v>406</v>
      </c>
      <c r="D151" s="10" t="s">
        <v>70</v>
      </c>
      <c r="E151" s="8" t="str">
        <f t="shared" si="2"/>
        <v>DISTRIBUTION-DRD_BASSA_TRANSFO N°3 90/15kV_BAS.D123MALANGUE</v>
      </c>
      <c r="F151" s="4"/>
    </row>
    <row r="152" spans="1:6" ht="25.5">
      <c r="A152" s="21" t="s">
        <v>11</v>
      </c>
      <c r="B152" s="9" t="s">
        <v>27</v>
      </c>
      <c r="C152" s="9" t="s">
        <v>484</v>
      </c>
      <c r="D152" s="10" t="s">
        <v>71</v>
      </c>
      <c r="E152" s="8" t="str">
        <f t="shared" si="2"/>
        <v>DISTRIBUTION-DRD_BEKOKO_TRANSFO N°1 90/30kV _BKK.D38BRASAF</v>
      </c>
      <c r="F152" s="4"/>
    </row>
    <row r="153" spans="1:6" ht="15.75">
      <c r="A153" s="21" t="s">
        <v>11</v>
      </c>
      <c r="B153" s="9" t="s">
        <v>27</v>
      </c>
      <c r="C153" s="9" t="s">
        <v>484</v>
      </c>
      <c r="D153" s="10" t="s">
        <v>72</v>
      </c>
      <c r="E153" s="8" t="str">
        <f t="shared" si="2"/>
        <v>DISTRIBUTION-DRD_BEKOKO_TRANSFO N°1 90/30kV _BKK.D39 ELIM</v>
      </c>
      <c r="F153" s="4"/>
    </row>
    <row r="154" spans="1:6" ht="15.75">
      <c r="A154" s="21" t="s">
        <v>11</v>
      </c>
      <c r="B154" s="9" t="s">
        <v>27</v>
      </c>
      <c r="C154" s="9" t="s">
        <v>484</v>
      </c>
      <c r="D154" s="10" t="s">
        <v>73</v>
      </c>
      <c r="E154" s="8" t="str">
        <f t="shared" si="2"/>
        <v>DISTRIBUTION-DRD_BEKOKO_TRANSFO N°1 90/30kV _BKK.D310 WFI</v>
      </c>
      <c r="F154" s="4"/>
    </row>
    <row r="155" spans="1:6" ht="25.5">
      <c r="A155" s="21" t="s">
        <v>11</v>
      </c>
      <c r="B155" s="9" t="s">
        <v>27</v>
      </c>
      <c r="C155" s="9" t="s">
        <v>485</v>
      </c>
      <c r="D155" s="10" t="s">
        <v>74</v>
      </c>
      <c r="E155" s="8" t="str">
        <f t="shared" si="2"/>
        <v>DISTRIBUTION-DRD_BEKOKO_TRANSFO N°2 90/30kV _BKK.D31DIBOMBARI</v>
      </c>
      <c r="F155" s="4"/>
    </row>
    <row r="156" spans="1:6" ht="25.5">
      <c r="A156" s="21" t="s">
        <v>11</v>
      </c>
      <c r="B156" s="9" t="s">
        <v>27</v>
      </c>
      <c r="C156" s="9" t="s">
        <v>485</v>
      </c>
      <c r="D156" s="10" t="s">
        <v>75</v>
      </c>
      <c r="E156" s="8" t="str">
        <f t="shared" si="2"/>
        <v>DISTRIBUTION-DRD_BEKOKO_TRANSFO N°2 90/30kV _BKK.D32BOMONO</v>
      </c>
      <c r="F156" s="4"/>
    </row>
    <row r="157" spans="1:6" ht="25.5">
      <c r="A157" s="21" t="s">
        <v>11</v>
      </c>
      <c r="B157" s="9" t="s">
        <v>27</v>
      </c>
      <c r="C157" s="9" t="s">
        <v>485</v>
      </c>
      <c r="D157" s="10" t="s">
        <v>76</v>
      </c>
      <c r="E157" s="8" t="str">
        <f t="shared" si="2"/>
        <v>DISTRIBUTION-DRD_BEKOKO_TRANSFO N°2 90/30kV _BKK.D33ROUTETIKO</v>
      </c>
      <c r="F157" s="4"/>
    </row>
    <row r="158" spans="1:6" ht="25.5">
      <c r="A158" s="21" t="s">
        <v>11</v>
      </c>
      <c r="B158" s="9" t="s">
        <v>27</v>
      </c>
      <c r="C158" s="9" t="s">
        <v>485</v>
      </c>
      <c r="D158" s="10" t="s">
        <v>77</v>
      </c>
      <c r="E158" s="8" t="str">
        <f t="shared" si="2"/>
        <v>DISTRIBUTION-DRD_BEKOKO_TRANSFO N°2 90/30kV _BKK.D34MINKWELLE</v>
      </c>
      <c r="F158" s="4"/>
    </row>
    <row r="159" spans="1:6" ht="25.5">
      <c r="A159" s="21" t="s">
        <v>11</v>
      </c>
      <c r="B159" s="9" t="s">
        <v>27</v>
      </c>
      <c r="C159" s="9" t="s">
        <v>485</v>
      </c>
      <c r="D159" s="10" t="s">
        <v>78</v>
      </c>
      <c r="E159" s="8" t="str">
        <f t="shared" si="2"/>
        <v>DISTRIBUTION-DRD_BEKOKO_TRANSFO N°2 90/30kV _BKK.D35BOADIBO</v>
      </c>
      <c r="F159" s="4"/>
    </row>
    <row r="160" spans="1:6" ht="25.5">
      <c r="A160" s="21" t="s">
        <v>11</v>
      </c>
      <c r="B160" s="9" t="s">
        <v>27</v>
      </c>
      <c r="C160" s="9" t="s">
        <v>485</v>
      </c>
      <c r="D160" s="10" t="s">
        <v>79</v>
      </c>
      <c r="E160" s="8" t="str">
        <f t="shared" si="2"/>
        <v>DISTRIBUTION-DRD_BEKOKO_TRANSFO N°2 90/30kV _BKK.D36CAMWATER</v>
      </c>
      <c r="F160" s="4"/>
    </row>
    <row r="161" spans="1:6" ht="25.5">
      <c r="A161" s="21" t="s">
        <v>11</v>
      </c>
      <c r="B161" s="9" t="s">
        <v>27</v>
      </c>
      <c r="C161" s="9" t="s">
        <v>485</v>
      </c>
      <c r="D161" s="10" t="s">
        <v>80</v>
      </c>
      <c r="E161" s="8" t="str">
        <f t="shared" si="2"/>
        <v>DISTRIBUTION-DRD_BEKOKO_TRANSFO N°2 90/30kV _BKK.D37OLAMCAM</v>
      </c>
      <c r="F161" s="4"/>
    </row>
    <row r="162" spans="1:6" ht="25.5">
      <c r="A162" s="21" t="s">
        <v>11</v>
      </c>
      <c r="B162" s="9" t="s">
        <v>28</v>
      </c>
      <c r="C162" s="9" t="s">
        <v>398</v>
      </c>
      <c r="D162" s="10" t="s">
        <v>81</v>
      </c>
      <c r="E162" s="8" t="str">
        <f t="shared" si="2"/>
        <v>DISTRIBUTION-DRD_BONABERI_TRANSFO N°1 90/15kV _BON.D113 ACERO METAL</v>
      </c>
      <c r="F162" s="4"/>
    </row>
    <row r="163" spans="1:6" ht="25.5">
      <c r="A163" s="21" t="s">
        <v>11</v>
      </c>
      <c r="B163" s="9" t="s">
        <v>28</v>
      </c>
      <c r="C163" s="9" t="s">
        <v>398</v>
      </c>
      <c r="D163" s="10" t="s">
        <v>82</v>
      </c>
      <c r="E163" s="8" t="str">
        <f t="shared" si="2"/>
        <v>DISTRIBUTION-DRD_BONABERI_TRANSFO N°1 90/15kV _BON.D114 MAYA</v>
      </c>
      <c r="F163" s="4"/>
    </row>
    <row r="164" spans="1:6" ht="25.5">
      <c r="A164" s="21" t="s">
        <v>11</v>
      </c>
      <c r="B164" s="9" t="s">
        <v>28</v>
      </c>
      <c r="C164" s="9" t="s">
        <v>398</v>
      </c>
      <c r="D164" s="10" t="s">
        <v>83</v>
      </c>
      <c r="E164" s="8" t="str">
        <f t="shared" si="2"/>
        <v>DISTRIBUTION-DRD_BONABERI_TRANSFO N°1 90/15kV _BON.D13SOCAME</v>
      </c>
      <c r="F164" s="4"/>
    </row>
    <row r="165" spans="1:6" ht="25.5">
      <c r="A165" s="21" t="s">
        <v>11</v>
      </c>
      <c r="B165" s="9" t="s">
        <v>28</v>
      </c>
      <c r="C165" s="9" t="s">
        <v>400</v>
      </c>
      <c r="D165" s="10" t="s">
        <v>84</v>
      </c>
      <c r="E165" s="8" t="str">
        <f t="shared" si="2"/>
        <v>DISTRIBUTION-DRD_BONABERI_TRANSFO N°2 90/15kV _BON.D112 NOVIA</v>
      </c>
      <c r="F165" s="4"/>
    </row>
    <row r="166" spans="1:6" ht="25.5">
      <c r="A166" s="21" t="s">
        <v>11</v>
      </c>
      <c r="B166" s="9" t="s">
        <v>28</v>
      </c>
      <c r="C166" s="9" t="s">
        <v>400</v>
      </c>
      <c r="D166" s="10" t="s">
        <v>85</v>
      </c>
      <c r="E166" s="8" t="str">
        <f t="shared" si="2"/>
        <v>DISTRIBUTION-DRD_BONABERI_TRANSFO N°2 90/15kV _BON.D11BONABERI VILLE</v>
      </c>
      <c r="F166" s="4"/>
    </row>
    <row r="167" spans="1:6" ht="15.75">
      <c r="A167" s="21" t="s">
        <v>11</v>
      </c>
      <c r="B167" s="9" t="s">
        <v>28</v>
      </c>
      <c r="C167" s="9" t="s">
        <v>400</v>
      </c>
      <c r="D167" s="10" t="s">
        <v>86</v>
      </c>
      <c r="E167" s="8" t="str">
        <f t="shared" si="2"/>
        <v>DISTRIBUTION-DRD_BONABERI_TRANSFO N°2 90/15kV _BON.D12P1ZI</v>
      </c>
      <c r="F167" s="4"/>
    </row>
    <row r="168" spans="1:6" ht="25.5">
      <c r="A168" s="21" t="s">
        <v>11</v>
      </c>
      <c r="B168" s="9" t="s">
        <v>28</v>
      </c>
      <c r="C168" s="9" t="s">
        <v>400</v>
      </c>
      <c r="D168" s="10" t="s">
        <v>87</v>
      </c>
      <c r="E168" s="8" t="str">
        <f t="shared" si="2"/>
        <v>DISTRIBUTION-DRD_BONABERI_TRANSFO N°2 90/15kV _BON.D14INSTITUT TONJI</v>
      </c>
      <c r="F168" s="4"/>
    </row>
    <row r="169" spans="1:6" ht="25.5">
      <c r="A169" s="21" t="s">
        <v>11</v>
      </c>
      <c r="B169" s="9" t="s">
        <v>28</v>
      </c>
      <c r="C169" s="9" t="s">
        <v>400</v>
      </c>
      <c r="D169" s="10" t="s">
        <v>88</v>
      </c>
      <c r="E169" s="8" t="str">
        <f t="shared" si="2"/>
        <v>DISTRIBUTION-DRD_BONABERI_TRANSFO N°2 90/15kV _BON.D16 CIMENCAM</v>
      </c>
      <c r="F169" s="4"/>
    </row>
    <row r="170" spans="1:6" ht="25.5">
      <c r="A170" s="21" t="s">
        <v>11</v>
      </c>
      <c r="B170" s="9" t="s">
        <v>28</v>
      </c>
      <c r="C170" s="9" t="s">
        <v>400</v>
      </c>
      <c r="D170" s="10" t="s">
        <v>89</v>
      </c>
      <c r="E170" s="8" t="str">
        <f t="shared" si="2"/>
        <v>DISTRIBUTION-DRD_BONABERI_TRANSFO N°2 90/15kV _BON.D17MINKWELLE</v>
      </c>
      <c r="F170" s="4"/>
    </row>
    <row r="171" spans="1:6" ht="25.5">
      <c r="A171" s="21" t="s">
        <v>11</v>
      </c>
      <c r="B171" s="9" t="s">
        <v>28</v>
      </c>
      <c r="C171" s="9" t="s">
        <v>400</v>
      </c>
      <c r="D171" s="10" t="s">
        <v>90</v>
      </c>
      <c r="E171" s="8" t="str">
        <f t="shared" si="2"/>
        <v>DISTRIBUTION-DRD_BONABERI_TRANSFO N°2 90/15kV _BON.D19CAMWATER</v>
      </c>
      <c r="F171" s="4"/>
    </row>
    <row r="172" spans="1:6" ht="25.5">
      <c r="A172" s="21" t="s">
        <v>11</v>
      </c>
      <c r="B172" s="9" t="s">
        <v>28</v>
      </c>
      <c r="C172" s="9" t="s">
        <v>400</v>
      </c>
      <c r="D172" s="10" t="s">
        <v>91</v>
      </c>
      <c r="E172" s="8" t="str">
        <f t="shared" si="2"/>
        <v>DISTRIBUTION-DRD_BONABERI_TRANSFO N°2 90/15kV _BON.D111CIMAF</v>
      </c>
      <c r="F172" s="4"/>
    </row>
    <row r="173" spans="1:6" ht="25.5">
      <c r="A173" s="21" t="s">
        <v>11</v>
      </c>
      <c r="B173" s="9" t="s">
        <v>28</v>
      </c>
      <c r="C173" s="9" t="s">
        <v>400</v>
      </c>
      <c r="D173" s="10" t="s">
        <v>92</v>
      </c>
      <c r="E173" s="8" t="str">
        <f t="shared" si="2"/>
        <v>DISTRIBUTION-DRD_BONABERI_TRANSFO N°2 90/15kV _BON.D115 ECO GREEN</v>
      </c>
      <c r="F173" s="4"/>
    </row>
    <row r="174" spans="1:6" ht="25.5">
      <c r="A174" s="21" t="s">
        <v>11</v>
      </c>
      <c r="B174" s="9" t="s">
        <v>28</v>
      </c>
      <c r="C174" s="9" t="s">
        <v>400</v>
      </c>
      <c r="D174" s="10" t="s">
        <v>93</v>
      </c>
      <c r="E174" s="8" t="str">
        <f t="shared" si="2"/>
        <v>DISTRIBUTION-DRD_BONABERI_TRANSFO N°2 90/15kV _BON.D116 OK PLAST</v>
      </c>
      <c r="F174" s="4"/>
    </row>
    <row r="175" spans="1:6" ht="25.5">
      <c r="A175" s="21" t="s">
        <v>11</v>
      </c>
      <c r="B175" s="9" t="s">
        <v>28</v>
      </c>
      <c r="C175" s="9" t="s">
        <v>400</v>
      </c>
      <c r="D175" s="10" t="s">
        <v>94</v>
      </c>
      <c r="E175" s="8" t="str">
        <f t="shared" si="2"/>
        <v>DISTRIBUTION-DRD_BONABERI_TRANSFO N°2 90/15kV _BON.A12MBOPPI - UIC</v>
      </c>
      <c r="F175" s="4"/>
    </row>
    <row r="176" spans="1:6" ht="25.5">
      <c r="A176" s="21" t="s">
        <v>11</v>
      </c>
      <c r="B176" s="9" t="s">
        <v>28</v>
      </c>
      <c r="C176" s="9" t="s">
        <v>400</v>
      </c>
      <c r="D176" s="10" t="s">
        <v>107</v>
      </c>
      <c r="E176" s="8" t="str">
        <f t="shared" si="2"/>
        <v>DISTRIBUTION-DRD_BONABERI_TRANSFO N°2 90/15kV _BON.D18IYOCK</v>
      </c>
      <c r="F176" s="4"/>
    </row>
    <row r="177" spans="1:6" ht="25.5">
      <c r="A177" s="21" t="s">
        <v>11</v>
      </c>
      <c r="B177" s="9" t="s">
        <v>28</v>
      </c>
      <c r="C177" s="9" t="s">
        <v>400</v>
      </c>
      <c r="D177" s="10" t="s">
        <v>108</v>
      </c>
      <c r="E177" s="8" t="str">
        <f t="shared" si="2"/>
        <v>DISTRIBUTION-DRD_BONABERI_TRANSFO N°2 90/15kV _BON.D110 HARJAAP / ACERO METAL</v>
      </c>
      <c r="F177" s="4"/>
    </row>
    <row r="178" spans="1:6" ht="25.5">
      <c r="A178" s="21" t="s">
        <v>11</v>
      </c>
      <c r="B178" s="9" t="s">
        <v>28</v>
      </c>
      <c r="C178" s="9" t="s">
        <v>400</v>
      </c>
      <c r="D178" s="10" t="s">
        <v>106</v>
      </c>
      <c r="E178" s="8" t="str">
        <f t="shared" si="2"/>
        <v>DISTRIBUTION-DRD_BONABERI_TRANSFO N°2 90/15kV _BON.D15NANGAH</v>
      </c>
      <c r="F178" s="4"/>
    </row>
    <row r="179" spans="1:6" ht="15.75">
      <c r="A179" s="21" t="s">
        <v>11</v>
      </c>
      <c r="B179" s="9" t="s">
        <v>29</v>
      </c>
      <c r="C179" s="9" t="s">
        <v>398</v>
      </c>
      <c r="D179" s="10" t="s">
        <v>95</v>
      </c>
      <c r="E179" s="8" t="str">
        <f t="shared" si="2"/>
        <v xml:space="preserve">DISTRIBUTION-DRD_DEIDO_TRANSFO N°1 90/15kV _DEI.D11MTN </v>
      </c>
      <c r="F179" s="4"/>
    </row>
    <row r="180" spans="1:6" ht="15.75">
      <c r="A180" s="21" t="s">
        <v>11</v>
      </c>
      <c r="B180" s="9" t="s">
        <v>29</v>
      </c>
      <c r="C180" s="9" t="s">
        <v>398</v>
      </c>
      <c r="D180" s="10" t="s">
        <v>96</v>
      </c>
      <c r="E180" s="8" t="str">
        <f t="shared" si="2"/>
        <v>DISTRIBUTION-DRD_DEIDO_TRANSFO N°1 90/15kV _DEI.D12MTN</v>
      </c>
      <c r="F180" s="4"/>
    </row>
    <row r="181" spans="1:6" ht="15.75">
      <c r="A181" s="21" t="s">
        <v>11</v>
      </c>
      <c r="B181" s="9" t="s">
        <v>29</v>
      </c>
      <c r="C181" s="9" t="s">
        <v>398</v>
      </c>
      <c r="D181" s="10" t="s">
        <v>97</v>
      </c>
      <c r="E181" s="8" t="str">
        <f t="shared" si="2"/>
        <v>DISTRIBUTION-DRD_DEIDO_TRANSFO N°1 90/15kV _DEI.D13CDB</v>
      </c>
      <c r="F181" s="4"/>
    </row>
    <row r="182" spans="1:6" ht="15.75">
      <c r="A182" s="21" t="s">
        <v>11</v>
      </c>
      <c r="B182" s="9" t="s">
        <v>29</v>
      </c>
      <c r="C182" s="9" t="s">
        <v>398</v>
      </c>
      <c r="D182" s="10" t="s">
        <v>98</v>
      </c>
      <c r="E182" s="8" t="str">
        <f t="shared" si="2"/>
        <v>DISTRIBUTION-DRD_DEIDO_TRANSFO N°1 90/15kV _DEI.D14MBOPPI</v>
      </c>
      <c r="F182" s="4"/>
    </row>
    <row r="183" spans="1:6" ht="25.5">
      <c r="A183" s="21" t="s">
        <v>11</v>
      </c>
      <c r="B183" s="9" t="s">
        <v>29</v>
      </c>
      <c r="C183" s="9" t="s">
        <v>398</v>
      </c>
      <c r="D183" s="10" t="s">
        <v>99</v>
      </c>
      <c r="E183" s="8" t="str">
        <f t="shared" si="2"/>
        <v>DISTRIBUTION-DRD_DEIDO_TRANSFO N°1 90/15kV _DEI.D18NOUVEL AKWA</v>
      </c>
      <c r="F183" s="4"/>
    </row>
    <row r="184" spans="1:6" ht="15.75">
      <c r="A184" s="21" t="s">
        <v>11</v>
      </c>
      <c r="B184" s="9" t="s">
        <v>29</v>
      </c>
      <c r="C184" s="9" t="s">
        <v>400</v>
      </c>
      <c r="D184" s="10" t="s">
        <v>100</v>
      </c>
      <c r="E184" s="8" t="str">
        <f t="shared" si="2"/>
        <v>DISTRIBUTION-DRD_DEIDO_TRANSFO N°2 90/15kV _DEI.D15POLANO</v>
      </c>
      <c r="F184" s="4"/>
    </row>
    <row r="185" spans="1:6" ht="25.5">
      <c r="A185" s="21" t="s">
        <v>11</v>
      </c>
      <c r="B185" s="9" t="s">
        <v>29</v>
      </c>
      <c r="C185" s="9" t="s">
        <v>400</v>
      </c>
      <c r="D185" s="10" t="s">
        <v>101</v>
      </c>
      <c r="E185" s="8" t="str">
        <f t="shared" si="2"/>
        <v>DISTRIBUTION-DRD_DEIDO_TRANSFO N°2 90/15kV _DEI.D16SOCOPAO</v>
      </c>
      <c r="F185" s="4"/>
    </row>
    <row r="186" spans="1:6" ht="15.75">
      <c r="A186" s="21" t="s">
        <v>11</v>
      </c>
      <c r="B186" s="9" t="s">
        <v>29</v>
      </c>
      <c r="C186" s="9" t="s">
        <v>400</v>
      </c>
      <c r="D186" s="10" t="s">
        <v>102</v>
      </c>
      <c r="E186" s="8" t="str">
        <f t="shared" si="2"/>
        <v>DISTRIBUTION-DRD_DEIDO_TRANSFO N°2 90/15kV _DEI.D19QUAI</v>
      </c>
      <c r="F186" s="4"/>
    </row>
    <row r="187" spans="1:6" ht="25.5">
      <c r="A187" s="21" t="s">
        <v>11</v>
      </c>
      <c r="B187" s="9" t="s">
        <v>29</v>
      </c>
      <c r="C187" s="9" t="s">
        <v>400</v>
      </c>
      <c r="D187" s="10" t="s">
        <v>103</v>
      </c>
      <c r="E187" s="8" t="str">
        <f t="shared" si="2"/>
        <v>DISTRIBUTION-DRD_DEIDO_TRANSFO N°2 90/15kV _DEI.D110ANCIEN AKWA</v>
      </c>
      <c r="F187" s="4"/>
    </row>
    <row r="188" spans="1:6" ht="25.5">
      <c r="A188" s="21" t="s">
        <v>11</v>
      </c>
      <c r="B188" s="9" t="s">
        <v>29</v>
      </c>
      <c r="C188" s="9" t="s">
        <v>400</v>
      </c>
      <c r="D188" s="10" t="s">
        <v>104</v>
      </c>
      <c r="E188" s="8" t="str">
        <f t="shared" si="2"/>
        <v>DISTRIBUTION-DRD_DEIDO_TRANSFO N°2 90/15kV _DEI.D112NDOI MAETUR</v>
      </c>
      <c r="F188" s="4"/>
    </row>
    <row r="189" spans="1:6" ht="25.5">
      <c r="A189" s="21" t="s">
        <v>11</v>
      </c>
      <c r="B189" s="9" t="s">
        <v>29</v>
      </c>
      <c r="C189" s="9" t="s">
        <v>400</v>
      </c>
      <c r="D189" s="10" t="s">
        <v>105</v>
      </c>
      <c r="E189" s="8" t="str">
        <f t="shared" si="2"/>
        <v>DISTRIBUTION-DRD_DEIDO_TRANSFO N°2 90/15kV _DEI.A12MAKEPE ( D17 BONEWONDA)</v>
      </c>
      <c r="F189" s="4"/>
    </row>
    <row r="190" spans="1:6" ht="25.5">
      <c r="A190" s="21" t="s">
        <v>11</v>
      </c>
      <c r="B190" s="9" t="s">
        <v>30</v>
      </c>
      <c r="C190" s="9" t="s">
        <v>398</v>
      </c>
      <c r="D190" s="10" t="s">
        <v>109</v>
      </c>
      <c r="E190" s="8" t="str">
        <f t="shared" si="2"/>
        <v>DISTRIBUTION-DRD_NGODI BAKOKO_TRANSFO N°1 90/15kV _NGO.D18 STADE JAPOMA</v>
      </c>
      <c r="F190" s="4"/>
    </row>
    <row r="191" spans="1:6" ht="25.5">
      <c r="A191" s="21" t="s">
        <v>11</v>
      </c>
      <c r="B191" s="9" t="s">
        <v>30</v>
      </c>
      <c r="C191" s="9" t="s">
        <v>398</v>
      </c>
      <c r="D191" s="10" t="s">
        <v>110</v>
      </c>
      <c r="E191" s="8" t="str">
        <f t="shared" si="2"/>
        <v>DISTRIBUTION-DRD_NGODI BAKOKO_TRANSFO N°1 90/15kV _NGO.D19 LOGEMENT SOCIAUX</v>
      </c>
      <c r="F191" s="4"/>
    </row>
    <row r="192" spans="1:6" ht="25.5">
      <c r="A192" s="21" t="s">
        <v>11</v>
      </c>
      <c r="B192" s="9" t="s">
        <v>30</v>
      </c>
      <c r="C192" s="9" t="s">
        <v>400</v>
      </c>
      <c r="D192" s="10" t="s">
        <v>111</v>
      </c>
      <c r="E192" s="8" t="str">
        <f t="shared" si="2"/>
        <v>DISTRIBUTION-DRD_NGODI BAKOKO_TRANSFO N°2 90/15kV _NGO.D11FERME AVICOLE</v>
      </c>
      <c r="F192" s="4"/>
    </row>
    <row r="193" spans="1:6" ht="25.5">
      <c r="A193" s="21" t="s">
        <v>11</v>
      </c>
      <c r="B193" s="9" t="s">
        <v>30</v>
      </c>
      <c r="C193" s="9" t="s">
        <v>400</v>
      </c>
      <c r="D193" s="10" t="s">
        <v>112</v>
      </c>
      <c r="E193" s="8" t="str">
        <f t="shared" si="2"/>
        <v>DISTRIBUTION-DRD_NGODI BAKOKO_TRANSFO N°2 90/15kV _NGO.D12RECASEMENT BILLE</v>
      </c>
      <c r="F193" s="4"/>
    </row>
    <row r="194" spans="1:6" ht="25.5">
      <c r="A194" s="21" t="s">
        <v>11</v>
      </c>
      <c r="B194" s="9" t="s">
        <v>30</v>
      </c>
      <c r="C194" s="9" t="s">
        <v>400</v>
      </c>
      <c r="D194" s="10" t="s">
        <v>113</v>
      </c>
      <c r="E194" s="8" t="str">
        <f t="shared" si="2"/>
        <v>DISTRIBUTION-DRD_NGODI BAKOKO_TRANSFO N°2 90/15kV _NGO.D13TRADEX</v>
      </c>
      <c r="F194" s="4"/>
    </row>
    <row r="195" spans="1:6" ht="25.5">
      <c r="A195" s="21" t="s">
        <v>11</v>
      </c>
      <c r="B195" s="9" t="s">
        <v>30</v>
      </c>
      <c r="C195" s="9" t="s">
        <v>400</v>
      </c>
      <c r="D195" s="10" t="s">
        <v>114</v>
      </c>
      <c r="E195" s="8" t="str">
        <f t="shared" si="2"/>
        <v>DISTRIBUTION-DRD_NGODI BAKOKO_TRANSFO N°2 90/15kV _NGO.D14LEPROSERIE</v>
      </c>
      <c r="F195" s="4"/>
    </row>
    <row r="196" spans="1:6" ht="25.5">
      <c r="A196" s="21" t="s">
        <v>11</v>
      </c>
      <c r="B196" s="9" t="s">
        <v>30</v>
      </c>
      <c r="C196" s="9" t="s">
        <v>400</v>
      </c>
      <c r="D196" s="10" t="s">
        <v>115</v>
      </c>
      <c r="E196" s="8" t="str">
        <f t="shared" ref="E196:E259" si="3">A196&amp;"_"&amp;B196&amp;"_"&amp;C196&amp;"_"&amp;D196</f>
        <v>DISTRIBUTION-DRD_NGODI BAKOKO_TRANSFO N°2 90/15kV _NGO.D15MBOKO</v>
      </c>
      <c r="F196" s="4"/>
    </row>
    <row r="197" spans="1:6" ht="25.5">
      <c r="A197" s="21" t="s">
        <v>11</v>
      </c>
      <c r="B197" s="9" t="s">
        <v>30</v>
      </c>
      <c r="C197" s="9" t="s">
        <v>400</v>
      </c>
      <c r="D197" s="10" t="s">
        <v>116</v>
      </c>
      <c r="E197" s="8" t="str">
        <f t="shared" si="3"/>
        <v>DISTRIBUTION-DRD_NGODI BAKOKO_TRANSFO N°2 90/15kV _NGO.D16LIVRAISON MAGZI</v>
      </c>
      <c r="F197" s="4"/>
    </row>
    <row r="198" spans="1:6" ht="25.5">
      <c r="A198" s="21" t="s">
        <v>11</v>
      </c>
      <c r="B198" s="9" t="s">
        <v>30</v>
      </c>
      <c r="C198" s="9" t="s">
        <v>400</v>
      </c>
      <c r="D198" s="10" t="s">
        <v>117</v>
      </c>
      <c r="E198" s="8" t="str">
        <f t="shared" si="3"/>
        <v>DISTRIBUTION-DRD_NGODI BAKOKO_TRANSFO N°2 90/15kV _NGO.D17 NKOLBONG</v>
      </c>
      <c r="F198" s="4"/>
    </row>
    <row r="199" spans="1:6" ht="25.5">
      <c r="A199" s="21" t="s">
        <v>11</v>
      </c>
      <c r="B199" s="9" t="s">
        <v>31</v>
      </c>
      <c r="C199" s="9" t="s">
        <v>398</v>
      </c>
      <c r="D199" s="10" t="s">
        <v>118</v>
      </c>
      <c r="E199" s="8" t="str">
        <f t="shared" si="3"/>
        <v>DISTRIBUTION-DRD_MAKEPE_TRANSFO N°1 90/15kV _MAK.D11BONAMOUSSADI 1</v>
      </c>
      <c r="F199" s="4"/>
    </row>
    <row r="200" spans="1:6" ht="15.75">
      <c r="A200" s="21" t="s">
        <v>11</v>
      </c>
      <c r="B200" s="9" t="s">
        <v>31</v>
      </c>
      <c r="C200" s="9" t="s">
        <v>398</v>
      </c>
      <c r="D200" s="10" t="s">
        <v>392</v>
      </c>
      <c r="E200" s="8" t="str">
        <f t="shared" si="3"/>
        <v>DISTRIBUTION-DRD_MAKEPE_TRANSFO N°1 90/15kV _MAK.D13DA2</v>
      </c>
      <c r="F200" s="4"/>
    </row>
    <row r="201" spans="1:6" ht="25.5">
      <c r="A201" s="21" t="s">
        <v>11</v>
      </c>
      <c r="B201" s="9" t="s">
        <v>31</v>
      </c>
      <c r="C201" s="9" t="s">
        <v>398</v>
      </c>
      <c r="D201" s="10" t="s">
        <v>119</v>
      </c>
      <c r="E201" s="8" t="str">
        <f t="shared" si="3"/>
        <v>DISTRIBUTION-DRD_MAKEPE_TRANSFO N°1 90/15kV _MAK.D15CRAYON D'OR</v>
      </c>
      <c r="F201" s="4"/>
    </row>
    <row r="202" spans="1:6" ht="25.5">
      <c r="A202" s="21" t="s">
        <v>11</v>
      </c>
      <c r="B202" s="9" t="s">
        <v>31</v>
      </c>
      <c r="C202" s="9" t="s">
        <v>398</v>
      </c>
      <c r="D202" s="10" t="s">
        <v>120</v>
      </c>
      <c r="E202" s="8" t="str">
        <f t="shared" si="3"/>
        <v>DISTRIBUTION-DRD_MAKEPE_TRANSFO N°1 90/15kV _MAK.D16MALANGUE</v>
      </c>
      <c r="F202" s="4"/>
    </row>
    <row r="203" spans="1:6" ht="25.5">
      <c r="A203" s="21" t="s">
        <v>11</v>
      </c>
      <c r="B203" s="9" t="s">
        <v>31</v>
      </c>
      <c r="C203" s="9" t="s">
        <v>398</v>
      </c>
      <c r="D203" s="10" t="s">
        <v>121</v>
      </c>
      <c r="E203" s="8" t="str">
        <f t="shared" si="3"/>
        <v>DISTRIBUTION-DRD_MAKEPE_TRANSFO N°1 90/15kV _MAK.D17BUREAUX MAETUR</v>
      </c>
      <c r="F203" s="4"/>
    </row>
    <row r="204" spans="1:6" ht="15.75">
      <c r="A204" s="21" t="s">
        <v>11</v>
      </c>
      <c r="B204" s="9" t="s">
        <v>31</v>
      </c>
      <c r="C204" s="9" t="s">
        <v>398</v>
      </c>
      <c r="D204" s="10" t="s">
        <v>393</v>
      </c>
      <c r="E204" s="8" t="str">
        <f t="shared" si="3"/>
        <v>DISTRIBUTION-DRD_MAKEPE_TRANSFO N°1 90/15kV _MAK.D18DM2</v>
      </c>
      <c r="F204" s="4"/>
    </row>
    <row r="205" spans="1:6" ht="25.5">
      <c r="A205" s="21" t="s">
        <v>11</v>
      </c>
      <c r="B205" s="9" t="s">
        <v>31</v>
      </c>
      <c r="C205" s="9" t="s">
        <v>398</v>
      </c>
      <c r="D205" s="10" t="s">
        <v>122</v>
      </c>
      <c r="E205" s="8" t="str">
        <f t="shared" si="3"/>
        <v>DISTRIBUTION-DRD_MAKEPE_TRANSFO N°1 90/15kV _MAK.D110DISSAKE</v>
      </c>
      <c r="F205" s="4"/>
    </row>
    <row r="206" spans="1:6" ht="25.5">
      <c r="A206" s="21" t="s">
        <v>11</v>
      </c>
      <c r="B206" s="9" t="s">
        <v>31</v>
      </c>
      <c r="C206" s="9" t="s">
        <v>400</v>
      </c>
      <c r="D206" s="10" t="s">
        <v>123</v>
      </c>
      <c r="E206" s="8" t="str">
        <f t="shared" si="3"/>
        <v>DISTRIBUTION-DRD_MAKEPE_TRANSFO N°2 90/15kV _MAK.D12BONAMOUSSADI 2</v>
      </c>
      <c r="F206" s="4"/>
    </row>
    <row r="207" spans="1:6" ht="15.75">
      <c r="A207" s="21" t="s">
        <v>11</v>
      </c>
      <c r="B207" s="9" t="s">
        <v>31</v>
      </c>
      <c r="C207" s="9" t="s">
        <v>400</v>
      </c>
      <c r="D207" s="10" t="s">
        <v>124</v>
      </c>
      <c r="E207" s="8" t="str">
        <f t="shared" si="3"/>
        <v>DISTRIBUTION-DRD_MAKEPE_TRANSFO N°2 90/15kV _MAK.D14CIMB</v>
      </c>
      <c r="F207" s="4"/>
    </row>
    <row r="208" spans="1:6" ht="25.5">
      <c r="A208" s="21" t="s">
        <v>11</v>
      </c>
      <c r="B208" s="9" t="s">
        <v>31</v>
      </c>
      <c r="C208" s="9" t="s">
        <v>400</v>
      </c>
      <c r="D208" s="10" t="s">
        <v>125</v>
      </c>
      <c r="E208" s="8" t="str">
        <f t="shared" si="3"/>
        <v>DISTRIBUTION-DRD_MAKEPE_TRANSFO N°2 90/15kV _MAK.D114ORANGE DATA CENTER</v>
      </c>
      <c r="F208" s="4"/>
    </row>
    <row r="209" spans="1:6" ht="25.5">
      <c r="A209" s="21" t="s">
        <v>11</v>
      </c>
      <c r="B209" s="9" t="s">
        <v>31</v>
      </c>
      <c r="C209" s="9" t="s">
        <v>400</v>
      </c>
      <c r="D209" s="10" t="s">
        <v>126</v>
      </c>
      <c r="E209" s="8" t="str">
        <f t="shared" si="3"/>
        <v>DISTRIBUTION-DRD_MAKEPE_TRANSFO N°2 90/15kV _MAK.D111KOTTO NGONGANG</v>
      </c>
      <c r="F209" s="4"/>
    </row>
    <row r="210" spans="1:6" ht="25.5">
      <c r="A210" s="21" t="s">
        <v>11</v>
      </c>
      <c r="B210" s="9" t="s">
        <v>31</v>
      </c>
      <c r="C210" s="9" t="s">
        <v>400</v>
      </c>
      <c r="D210" s="10" t="s">
        <v>127</v>
      </c>
      <c r="E210" s="8" t="str">
        <f t="shared" si="3"/>
        <v>DISTRIBUTION-DRD_MAKEPE_TRANSFO N°2 90/15kV _MAK.D112MAIRIE 1</v>
      </c>
      <c r="F210" s="4"/>
    </row>
    <row r="211" spans="1:6" ht="25.5">
      <c r="A211" s="21" t="s">
        <v>11</v>
      </c>
      <c r="B211" s="9" t="s">
        <v>31</v>
      </c>
      <c r="C211" s="9" t="s">
        <v>400</v>
      </c>
      <c r="D211" s="10" t="s">
        <v>128</v>
      </c>
      <c r="E211" s="8" t="str">
        <f t="shared" si="3"/>
        <v>DISTRIBUTION-DRD_MAKEPE_TRANSFO N°2 90/15kV _MAK.D113MAIRIE 2</v>
      </c>
      <c r="F211" s="4"/>
    </row>
    <row r="212" spans="1:6" ht="15.75">
      <c r="A212" s="21" t="s">
        <v>11</v>
      </c>
      <c r="B212" s="9" t="s">
        <v>32</v>
      </c>
      <c r="C212" s="9" t="s">
        <v>405</v>
      </c>
      <c r="D212" s="10" t="s">
        <v>129</v>
      </c>
      <c r="E212" s="8" t="str">
        <f t="shared" si="3"/>
        <v>DISTRIBUTION-DRD_LOGBABA_TRANSFO  90/15kV _LBB.D16SNEC</v>
      </c>
      <c r="F212" s="4"/>
    </row>
    <row r="213" spans="1:6" ht="25.5">
      <c r="A213" s="21" t="s">
        <v>11</v>
      </c>
      <c r="B213" s="9" t="s">
        <v>32</v>
      </c>
      <c r="C213" s="9" t="s">
        <v>405</v>
      </c>
      <c r="D213" s="10" t="s">
        <v>130</v>
      </c>
      <c r="E213" s="8" t="str">
        <f t="shared" si="3"/>
        <v>DISTRIBUTION-DRD_LOGBABA_TRANSFO  90/15kV _LBB.D11G N  PK17</v>
      </c>
      <c r="F213" s="4"/>
    </row>
    <row r="214" spans="1:6" ht="15.75">
      <c r="A214" s="21" t="s">
        <v>11</v>
      </c>
      <c r="B214" s="9" t="s">
        <v>32</v>
      </c>
      <c r="C214" s="9" t="s">
        <v>405</v>
      </c>
      <c r="D214" s="10" t="s">
        <v>131</v>
      </c>
      <c r="E214" s="8" t="str">
        <f t="shared" si="3"/>
        <v>DISTRIBUTION-DRD_LOGBABA_TRANSFO  90/15kV _LBB.D17ACIERIE</v>
      </c>
      <c r="F214" s="4"/>
    </row>
    <row r="215" spans="1:6" ht="25.5">
      <c r="A215" s="21" t="s">
        <v>11</v>
      </c>
      <c r="B215" s="9" t="s">
        <v>32</v>
      </c>
      <c r="C215" s="9" t="s">
        <v>405</v>
      </c>
      <c r="D215" s="10" t="s">
        <v>132</v>
      </c>
      <c r="E215" s="8" t="str">
        <f t="shared" si="3"/>
        <v>DISTRIBUTION-DRD_LOGBABA_TRANSFO  90/15kV _LBB.D18METAFRIQUE</v>
      </c>
      <c r="F215" s="4"/>
    </row>
    <row r="216" spans="1:6" ht="25.5">
      <c r="A216" s="21" t="s">
        <v>11</v>
      </c>
      <c r="B216" s="9" t="s">
        <v>32</v>
      </c>
      <c r="C216" s="9" t="s">
        <v>405</v>
      </c>
      <c r="D216" s="10" t="s">
        <v>133</v>
      </c>
      <c r="E216" s="8" t="str">
        <f t="shared" si="3"/>
        <v>DISTRIBUTION-DRD_LOGBABA_TRANSFO  90/15kV _LBB.D19PROMAL 3</v>
      </c>
      <c r="F216" s="4"/>
    </row>
    <row r="217" spans="1:6" ht="25.5">
      <c r="A217" s="21" t="s">
        <v>11</v>
      </c>
      <c r="B217" s="9" t="s">
        <v>32</v>
      </c>
      <c r="C217" s="9" t="s">
        <v>405</v>
      </c>
      <c r="D217" s="10" t="s">
        <v>134</v>
      </c>
      <c r="E217" s="8" t="str">
        <f t="shared" si="3"/>
        <v>DISTRIBUTION-DRD_LOGBABA_TRANSFO  90/15kV _LBB.D111LBBBABA</v>
      </c>
      <c r="F217" s="4"/>
    </row>
    <row r="218" spans="1:6" ht="25.5">
      <c r="A218" s="21" t="s">
        <v>11</v>
      </c>
      <c r="B218" s="9" t="s">
        <v>32</v>
      </c>
      <c r="C218" s="9" t="s">
        <v>405</v>
      </c>
      <c r="D218" s="10" t="s">
        <v>135</v>
      </c>
      <c r="E218" s="8" t="str">
        <f t="shared" si="3"/>
        <v>DISTRIBUTION-DRD_LOGBABA_TRANSFO  90/15kV _LBB.D114 LBBBABA</v>
      </c>
      <c r="F218" s="4"/>
    </row>
    <row r="219" spans="1:6" ht="25.5">
      <c r="A219" s="21" t="s">
        <v>12</v>
      </c>
      <c r="B219" s="9" t="s">
        <v>136</v>
      </c>
      <c r="C219" s="9" t="s">
        <v>396</v>
      </c>
      <c r="D219" s="12" t="s">
        <v>140</v>
      </c>
      <c r="E219" s="8" t="str">
        <f t="shared" si="3"/>
        <v>DISTRIBUTION-DRNEA_DJAMBOUTOU_TRANSFO N°1 90/15kV_DJA.D11 CICAM</v>
      </c>
      <c r="F219" s="4"/>
    </row>
    <row r="220" spans="1:6" ht="25.5">
      <c r="A220" s="21" t="s">
        <v>12</v>
      </c>
      <c r="B220" s="9" t="s">
        <v>136</v>
      </c>
      <c r="C220" s="9" t="s">
        <v>396</v>
      </c>
      <c r="D220" s="12" t="s">
        <v>141</v>
      </c>
      <c r="E220" s="8" t="str">
        <f t="shared" si="3"/>
        <v>DISTRIBUTION-DRNEA_DJAMBOUTOU_TRANSFO N°1 90/15kV_DJA.D13 HUILERIE</v>
      </c>
      <c r="F220" s="4"/>
    </row>
    <row r="221" spans="1:6" ht="25.5">
      <c r="A221" s="21" t="s">
        <v>12</v>
      </c>
      <c r="B221" s="9" t="s">
        <v>136</v>
      </c>
      <c r="C221" s="9" t="s">
        <v>396</v>
      </c>
      <c r="D221" s="12" t="s">
        <v>142</v>
      </c>
      <c r="E221" s="8" t="str">
        <f t="shared" si="3"/>
        <v>DISTRIBUTION-DRNEA_DJAMBOUTOU_TRANSFO N°1 90/15kV_DJA.D15 RADIO</v>
      </c>
      <c r="F221" s="4"/>
    </row>
    <row r="222" spans="1:6" ht="25.5">
      <c r="A222" s="21" t="s">
        <v>12</v>
      </c>
      <c r="B222" s="9" t="s">
        <v>136</v>
      </c>
      <c r="C222" s="9" t="s">
        <v>396</v>
      </c>
      <c r="D222" s="12" t="s">
        <v>143</v>
      </c>
      <c r="E222" s="8" t="str">
        <f t="shared" si="3"/>
        <v>DISTRIBUTION-DRNEA_DJAMBOUTOU_TRANSFO N°1 90/15kV_DJA.D17 DEM</v>
      </c>
      <c r="F222" s="4"/>
    </row>
    <row r="223" spans="1:6" ht="25.5">
      <c r="A223" s="21" t="s">
        <v>12</v>
      </c>
      <c r="B223" s="9" t="s">
        <v>136</v>
      </c>
      <c r="C223" s="9" t="s">
        <v>396</v>
      </c>
      <c r="D223" s="12" t="s">
        <v>144</v>
      </c>
      <c r="E223" s="8" t="str">
        <f t="shared" si="3"/>
        <v>DISTRIBUTION-DRNEA_DJAMBOUTOU_TRANSFO N°1 90/15kV_DJA D19 SODECOTON</v>
      </c>
      <c r="F223" s="4"/>
    </row>
    <row r="224" spans="1:6" ht="25.5">
      <c r="A224" s="21" t="s">
        <v>12</v>
      </c>
      <c r="B224" s="9" t="s">
        <v>136</v>
      </c>
      <c r="C224" s="9" t="s">
        <v>396</v>
      </c>
      <c r="D224" s="12" t="s">
        <v>145</v>
      </c>
      <c r="E224" s="8" t="str">
        <f t="shared" si="3"/>
        <v>DISTRIBUTION-DRNEA_DJAMBOUTOU_TRANSFO N°1 90/15kV_DJA.D20 AEROPORT</v>
      </c>
      <c r="F224" s="4"/>
    </row>
    <row r="225" spans="1:6" ht="25.5">
      <c r="A225" s="21" t="s">
        <v>12</v>
      </c>
      <c r="B225" s="9" t="s">
        <v>136</v>
      </c>
      <c r="C225" s="9" t="s">
        <v>396</v>
      </c>
      <c r="D225" s="12" t="s">
        <v>146</v>
      </c>
      <c r="E225" s="8" t="str">
        <f t="shared" si="3"/>
        <v>DISTRIBUTION-DRNEA_DJAMBOUTOU_TRANSFO N°1 90/15kV_DJA.D21 STADE ROUMDE-ADJIA</v>
      </c>
      <c r="F225" s="4"/>
    </row>
    <row r="226" spans="1:6" ht="25.5">
      <c r="A226" s="21" t="s">
        <v>12</v>
      </c>
      <c r="B226" s="9" t="s">
        <v>136</v>
      </c>
      <c r="C226" s="9" t="s">
        <v>397</v>
      </c>
      <c r="D226" s="12" t="s">
        <v>147</v>
      </c>
      <c r="E226" s="8" t="str">
        <f t="shared" si="3"/>
        <v>DISTRIBUTION-DRNEA_DJAMBOUTOU_TRANSFO N°2 90/15kV_DJA.D12 VILLE</v>
      </c>
      <c r="F226" s="4"/>
    </row>
    <row r="227" spans="1:6" ht="25.5">
      <c r="A227" s="21" t="s">
        <v>12</v>
      </c>
      <c r="B227" s="9" t="s">
        <v>136</v>
      </c>
      <c r="C227" s="9" t="s">
        <v>397</v>
      </c>
      <c r="D227" s="12" t="s">
        <v>148</v>
      </c>
      <c r="E227" s="8" t="str">
        <f t="shared" si="3"/>
        <v>DISTRIBUTION-DRNEA_DJAMBOUTOU_TRANSFO N°2 90/15kV_DJA.D14 CICAM CABLE</v>
      </c>
      <c r="F227" s="4"/>
    </row>
    <row r="228" spans="1:6" ht="25.5">
      <c r="A228" s="21" t="s">
        <v>12</v>
      </c>
      <c r="B228" s="9" t="s">
        <v>136</v>
      </c>
      <c r="C228" s="9" t="s">
        <v>397</v>
      </c>
      <c r="D228" s="12" t="s">
        <v>149</v>
      </c>
      <c r="E228" s="8" t="str">
        <f t="shared" si="3"/>
        <v>DISTRIBUTION-DRNEA_DJAMBOUTOU_TRANSFO N°2 90/15kV_DJA.D18 SOCAPROD</v>
      </c>
      <c r="F228" s="4"/>
    </row>
    <row r="229" spans="1:6" ht="18.75" customHeight="1">
      <c r="A229" s="21" t="s">
        <v>12</v>
      </c>
      <c r="B229" s="9" t="s">
        <v>136</v>
      </c>
      <c r="C229" s="13" t="s">
        <v>407</v>
      </c>
      <c r="D229" s="12" t="s">
        <v>150</v>
      </c>
      <c r="E229" s="8" t="str">
        <f t="shared" si="3"/>
        <v>DISTRIBUTION-DRNEA_DJAMBOUTOU_Transfo TE 15/30 KV_DJA.D31 BOKLE</v>
      </c>
      <c r="F229" s="4"/>
    </row>
    <row r="230" spans="1:6" ht="17.25" customHeight="1">
      <c r="A230" s="21" t="s">
        <v>12</v>
      </c>
      <c r="B230" s="9" t="s">
        <v>136</v>
      </c>
      <c r="C230" s="13" t="s">
        <v>407</v>
      </c>
      <c r="D230" s="12" t="s">
        <v>151</v>
      </c>
      <c r="E230" s="8" t="str">
        <f t="shared" si="3"/>
        <v>DISTRIBUTION-DRNEA_DJAMBOUTOU_Transfo TE 15/30 KV_DJA.D32 GASHIGA</v>
      </c>
      <c r="F230" s="4"/>
    </row>
    <row r="231" spans="1:6" ht="15.75">
      <c r="A231" s="21" t="s">
        <v>12</v>
      </c>
      <c r="B231" s="9" t="s">
        <v>137</v>
      </c>
      <c r="C231" s="9" t="s">
        <v>408</v>
      </c>
      <c r="D231" s="12" t="s">
        <v>152</v>
      </c>
      <c r="E231" s="8" t="str">
        <f t="shared" si="3"/>
        <v>DISTRIBUTION-DRNEA_GUIDER_TRANSFO 90/15kV_GUI.D32 FIGUIL</v>
      </c>
      <c r="F231" s="4"/>
    </row>
    <row r="232" spans="1:6" ht="25.5">
      <c r="A232" s="21" t="s">
        <v>12</v>
      </c>
      <c r="B232" s="9" t="s">
        <v>137</v>
      </c>
      <c r="C232" s="9" t="s">
        <v>408</v>
      </c>
      <c r="D232" s="12" t="s">
        <v>153</v>
      </c>
      <c r="E232" s="8" t="str">
        <f t="shared" si="3"/>
        <v>DISTRIBUTION-DRNEA_GUIDER_TRANSFO 90/15kV_GUI.D33 MAYO OULO</v>
      </c>
      <c r="F232" s="4"/>
    </row>
    <row r="233" spans="1:6" ht="15.75">
      <c r="A233" s="21" t="s">
        <v>12</v>
      </c>
      <c r="B233" s="9" t="s">
        <v>137</v>
      </c>
      <c r="C233" s="9" t="s">
        <v>408</v>
      </c>
      <c r="D233" s="12" t="s">
        <v>154</v>
      </c>
      <c r="E233" s="8" t="str">
        <f t="shared" si="3"/>
        <v>DISTRIBUTION-DRNEA_GUIDER_TRANSFO 90/15kV_GUI.D35 GUIDER</v>
      </c>
      <c r="F233" s="4"/>
    </row>
    <row r="234" spans="1:6" ht="25.5">
      <c r="A234" s="21" t="s">
        <v>12</v>
      </c>
      <c r="B234" s="9" t="s">
        <v>137</v>
      </c>
      <c r="C234" s="9" t="s">
        <v>408</v>
      </c>
      <c r="D234" s="12" t="s">
        <v>155</v>
      </c>
      <c r="E234" s="8" t="str">
        <f t="shared" si="3"/>
        <v>DISTRIBUTION-DRNEA_GUIDER_TRANSFO 90/15kV_GUI.D36 CIMENCAM</v>
      </c>
      <c r="F234" s="4"/>
    </row>
    <row r="235" spans="1:6" ht="15.75">
      <c r="A235" s="21" t="s">
        <v>12</v>
      </c>
      <c r="B235" s="8" t="s">
        <v>9</v>
      </c>
      <c r="C235" s="8" t="s">
        <v>409</v>
      </c>
      <c r="D235" s="12" t="s">
        <v>156</v>
      </c>
      <c r="E235" s="8" t="str">
        <f t="shared" si="3"/>
        <v>DISTRIBUTION-DRNEA_LAGDO_Transfo N°1 - 10/15KV_LAG.D12 CITE</v>
      </c>
      <c r="F235" s="4"/>
    </row>
    <row r="236" spans="1:6" ht="15.75">
      <c r="A236" s="21" t="s">
        <v>12</v>
      </c>
      <c r="B236" s="8" t="s">
        <v>9</v>
      </c>
      <c r="C236" s="9" t="s">
        <v>491</v>
      </c>
      <c r="D236" s="12" t="s">
        <v>157</v>
      </c>
      <c r="E236" s="8" t="str">
        <f t="shared" si="3"/>
        <v>DISTRIBUTION-DRNEA_LAGDO_Transfo N°2 - 10/30KV_LAG.D31 TCH</v>
      </c>
      <c r="F236" s="4"/>
    </row>
    <row r="237" spans="1:6" ht="15.75">
      <c r="A237" s="21" t="s">
        <v>12</v>
      </c>
      <c r="B237" s="8" t="s">
        <v>9</v>
      </c>
      <c r="C237" s="9" t="s">
        <v>491</v>
      </c>
      <c r="D237" s="12" t="s">
        <v>158</v>
      </c>
      <c r="E237" s="8" t="str">
        <f t="shared" si="3"/>
        <v>DISTRIBUTION-DRNEA_LAGDO_Transfo N°2 - 10/30KV_LAG.D32 LAM</v>
      </c>
      <c r="F237" s="4"/>
    </row>
    <row r="238" spans="1:6" ht="25.5">
      <c r="A238" s="21" t="s">
        <v>12</v>
      </c>
      <c r="B238" s="9" t="s">
        <v>138</v>
      </c>
      <c r="C238" s="9" t="s">
        <v>396</v>
      </c>
      <c r="D238" s="12" t="s">
        <v>163</v>
      </c>
      <c r="E238" s="8" t="str">
        <f t="shared" si="3"/>
        <v>DISTRIBUTION-DRNEA_MAROUA_TRANSFO N°1 90/15kV_MRA.D11 VILLE</v>
      </c>
      <c r="F238" s="4"/>
    </row>
    <row r="239" spans="1:6" ht="25.5">
      <c r="A239" s="21" t="s">
        <v>12</v>
      </c>
      <c r="B239" s="9" t="s">
        <v>138</v>
      </c>
      <c r="C239" s="9" t="s">
        <v>396</v>
      </c>
      <c r="D239" s="12" t="s">
        <v>164</v>
      </c>
      <c r="E239" s="8" t="str">
        <f t="shared" si="3"/>
        <v>DISTRIBUTION-DRNEA_MAROUA_TRANSFO N°1 90/15kV_MRA.D12 VILLE</v>
      </c>
      <c r="F239" s="4"/>
    </row>
    <row r="240" spans="1:6" ht="25.5">
      <c r="A240" s="21" t="s">
        <v>12</v>
      </c>
      <c r="B240" s="9" t="s">
        <v>138</v>
      </c>
      <c r="C240" s="9" t="s">
        <v>396</v>
      </c>
      <c r="D240" s="12" t="s">
        <v>165</v>
      </c>
      <c r="E240" s="8" t="str">
        <f t="shared" si="3"/>
        <v>DISTRIBUTION-DRNEA_MAROUA_TRANSFO N°1 90/15kV_MRA.D13 VILLE</v>
      </c>
      <c r="F240" s="4"/>
    </row>
    <row r="241" spans="1:6" ht="25.5">
      <c r="A241" s="21" t="s">
        <v>12</v>
      </c>
      <c r="B241" s="9" t="s">
        <v>138</v>
      </c>
      <c r="C241" s="9" t="s">
        <v>505</v>
      </c>
      <c r="D241" s="12" t="s">
        <v>159</v>
      </c>
      <c r="E241" s="8" t="str">
        <f t="shared" si="3"/>
        <v>DISTRIBUTION-DRNEA_MAROUA_TRANSFO N°2 90/30kV_MRA.D31 MOKOLO</v>
      </c>
      <c r="F241" s="4"/>
    </row>
    <row r="242" spans="1:6" ht="25.5">
      <c r="A242" s="21" t="s">
        <v>12</v>
      </c>
      <c r="B242" s="9" t="s">
        <v>138</v>
      </c>
      <c r="C242" s="9" t="s">
        <v>505</v>
      </c>
      <c r="D242" s="12" t="s">
        <v>160</v>
      </c>
      <c r="E242" s="8" t="str">
        <f t="shared" si="3"/>
        <v>DISTRIBUTION-DRNEA_MAROUA_TRANSFO N°2 90/30kV_MRA.D34 BOGOMAGA</v>
      </c>
      <c r="F242" s="4"/>
    </row>
    <row r="243" spans="1:6" ht="25.5">
      <c r="A243" s="21" t="s">
        <v>12</v>
      </c>
      <c r="B243" s="9" t="s">
        <v>138</v>
      </c>
      <c r="C243" s="9" t="s">
        <v>505</v>
      </c>
      <c r="D243" s="12" t="s">
        <v>161</v>
      </c>
      <c r="E243" s="8" t="str">
        <f t="shared" si="3"/>
        <v>DISTRIBUTION-DRNEA_MAROUA_TRANSFO N°2 90/30kV_MRA.D36 MINDIF</v>
      </c>
      <c r="F243" s="4"/>
    </row>
    <row r="244" spans="1:6" ht="25.5">
      <c r="A244" s="21" t="s">
        <v>12</v>
      </c>
      <c r="B244" s="9" t="s">
        <v>138</v>
      </c>
      <c r="C244" s="9" t="s">
        <v>505</v>
      </c>
      <c r="D244" s="12" t="s">
        <v>162</v>
      </c>
      <c r="E244" s="8" t="str">
        <f t="shared" si="3"/>
        <v>DISTRIBUTION-DRNEA_MAROUA_TRANSFO N°2 90/30kV_MRA.D32 MERI</v>
      </c>
      <c r="F244" s="4"/>
    </row>
    <row r="245" spans="1:6" ht="25.5">
      <c r="A245" s="21" t="s">
        <v>12</v>
      </c>
      <c r="B245" s="9" t="s">
        <v>138</v>
      </c>
      <c r="C245" s="7" t="s">
        <v>410</v>
      </c>
      <c r="D245" s="12" t="s">
        <v>166</v>
      </c>
      <c r="E245" s="8" t="str">
        <f t="shared" si="3"/>
        <v>DISTRIBUTION-DRNEA_MAROUA_Transfo N°3 - 15/30KV_MRA.D35 YAGOUA</v>
      </c>
      <c r="F245" s="4"/>
    </row>
    <row r="246" spans="1:6" ht="25.5">
      <c r="A246" s="21" t="s">
        <v>12</v>
      </c>
      <c r="B246" s="9" t="s">
        <v>139</v>
      </c>
      <c r="C246" s="9" t="s">
        <v>396</v>
      </c>
      <c r="D246" s="12" t="s">
        <v>167</v>
      </c>
      <c r="E246" s="8" t="str">
        <f t="shared" si="3"/>
        <v>DISTRIBUTION-DRNEA_NGAOUNDERE_TRANSFO N°1 90/15kV_NGA.D11 VILLE</v>
      </c>
      <c r="F246" s="4"/>
    </row>
    <row r="247" spans="1:6" ht="25.5">
      <c r="A247" s="21" t="s">
        <v>12</v>
      </c>
      <c r="B247" s="9" t="s">
        <v>139</v>
      </c>
      <c r="C247" s="9" t="s">
        <v>396</v>
      </c>
      <c r="D247" s="12" t="s">
        <v>168</v>
      </c>
      <c r="E247" s="8" t="str">
        <f t="shared" si="3"/>
        <v>DISTRIBUTION-DRNEA_NGAOUNDERE_TRANSFO N°1 90/15kV_NGA.D12 VINA</v>
      </c>
      <c r="F247" s="4"/>
    </row>
    <row r="248" spans="1:6" ht="25.5">
      <c r="A248" s="21" t="s">
        <v>12</v>
      </c>
      <c r="B248" s="9" t="s">
        <v>139</v>
      </c>
      <c r="C248" s="9" t="s">
        <v>396</v>
      </c>
      <c r="D248" s="12" t="s">
        <v>169</v>
      </c>
      <c r="E248" s="8" t="str">
        <f t="shared" si="3"/>
        <v>DISTRIBUTION-DRNEA_NGAOUNDERE_TRANSFO N°1 90/15kV_NGA.D13 AEROPORT</v>
      </c>
      <c r="F248" s="4"/>
    </row>
    <row r="249" spans="1:6" ht="25.5">
      <c r="A249" s="21" t="s">
        <v>12</v>
      </c>
      <c r="B249" s="9" t="s">
        <v>139</v>
      </c>
      <c r="C249" s="9" t="s">
        <v>396</v>
      </c>
      <c r="D249" s="12" t="s">
        <v>170</v>
      </c>
      <c r="E249" s="8" t="str">
        <f t="shared" si="3"/>
        <v>DISTRIBUTION-DRNEA_NGAOUNDERE_TRANSFO N°1 90/15kV_NGA.D14 ACERO METAL</v>
      </c>
      <c r="F249" s="4"/>
    </row>
    <row r="250" spans="1:6" ht="19.5" customHeight="1">
      <c r="A250" s="21" t="s">
        <v>12</v>
      </c>
      <c r="B250" s="9" t="s">
        <v>139</v>
      </c>
      <c r="C250" s="9" t="s">
        <v>411</v>
      </c>
      <c r="D250" s="12" t="s">
        <v>171</v>
      </c>
      <c r="E250" s="8" t="str">
        <f t="shared" si="3"/>
        <v>DISTRIBUTION-DRNEA_NGAOUNDERE_TRANSFO N°2 - 15/30KV_NGA.D31 MEIGANGA</v>
      </c>
      <c r="F250" s="4"/>
    </row>
    <row r="251" spans="1:6" ht="21" customHeight="1">
      <c r="A251" s="21" t="s">
        <v>12</v>
      </c>
      <c r="B251" s="9" t="s">
        <v>139</v>
      </c>
      <c r="C251" s="9" t="s">
        <v>411</v>
      </c>
      <c r="D251" s="12" t="s">
        <v>172</v>
      </c>
      <c r="E251" s="8" t="str">
        <f t="shared" si="3"/>
        <v>DISTRIBUTION-DRNEA_NGAOUNDERE_TRANSFO N°2 - 15/30KV_NGA.D33 TCHABAL</v>
      </c>
      <c r="F251" s="4"/>
    </row>
    <row r="252" spans="1:6" ht="25.5">
      <c r="A252" s="21" t="s">
        <v>13</v>
      </c>
      <c r="B252" s="9" t="s">
        <v>173</v>
      </c>
      <c r="C252" s="9" t="s">
        <v>404</v>
      </c>
      <c r="D252" s="14" t="s">
        <v>295</v>
      </c>
      <c r="E252" s="8" t="str">
        <f t="shared" si="3"/>
        <v>DISTRIBUTION-DRSM_DJOB_TRANSFO  90/30kV_DJO.D32 EBOLOWA VILLE</v>
      </c>
      <c r="F252" s="4"/>
    </row>
    <row r="253" spans="1:6" ht="15.75">
      <c r="A253" s="21" t="s">
        <v>13</v>
      </c>
      <c r="B253" s="9" t="s">
        <v>173</v>
      </c>
      <c r="C253" s="9" t="s">
        <v>404</v>
      </c>
      <c r="D253" s="14" t="s">
        <v>296</v>
      </c>
      <c r="E253" s="8" t="str">
        <f t="shared" si="3"/>
        <v>DISTRIBUTION-DRSM_DJOB_TRANSFO  90/30kV_DJO.D34 AMBAM</v>
      </c>
      <c r="F253" s="4"/>
    </row>
    <row r="254" spans="1:6" ht="15.75">
      <c r="A254" s="21" t="s">
        <v>13</v>
      </c>
      <c r="B254" s="9" t="s">
        <v>173</v>
      </c>
      <c r="C254" s="9" t="s">
        <v>404</v>
      </c>
      <c r="D254" s="14" t="s">
        <v>297</v>
      </c>
      <c r="E254" s="8" t="str">
        <f t="shared" si="3"/>
        <v>DISTRIBUTION-DRSM_DJOB_TRANSFO  90/30kV_DJO.D35 AMBAM I</v>
      </c>
      <c r="F254" s="4"/>
    </row>
    <row r="255" spans="1:6" ht="25.5">
      <c r="A255" s="21" t="s">
        <v>13</v>
      </c>
      <c r="B255" s="9" t="s">
        <v>174</v>
      </c>
      <c r="C255" s="9" t="s">
        <v>412</v>
      </c>
      <c r="D255" s="15" t="s">
        <v>298</v>
      </c>
      <c r="E255" s="8" t="str">
        <f t="shared" si="3"/>
        <v>DISTRIBUTION-DRSM_EKOMBITIE_TRANSFO  90/30kV _EKO.D31 LOLODORF (Ex Ebolowa)</v>
      </c>
      <c r="F255" s="4"/>
    </row>
    <row r="256" spans="1:6" ht="25.5">
      <c r="A256" s="21" t="s">
        <v>13</v>
      </c>
      <c r="B256" s="9" t="s">
        <v>174</v>
      </c>
      <c r="C256" s="9" t="s">
        <v>412</v>
      </c>
      <c r="D256" s="14" t="s">
        <v>299</v>
      </c>
      <c r="E256" s="8" t="str">
        <f t="shared" si="3"/>
        <v>DISTRIBUTION-DRSM_EKOMBITIE_TRANSFO  90/30kV _EKO.D32 SNEC</v>
      </c>
      <c r="F256" s="4"/>
    </row>
    <row r="257" spans="1:6" ht="25.5">
      <c r="A257" s="21" t="s">
        <v>13</v>
      </c>
      <c r="B257" s="9" t="s">
        <v>174</v>
      </c>
      <c r="C257" s="9" t="s">
        <v>412</v>
      </c>
      <c r="D257" s="14" t="s">
        <v>300</v>
      </c>
      <c r="E257" s="8" t="str">
        <f t="shared" si="3"/>
        <v>DISTRIBUTION-DRSM_EKOMBITIE_TRANSFO  90/30kV _EKO.D33 MBALMAYO</v>
      </c>
      <c r="F257" s="4"/>
    </row>
    <row r="258" spans="1:6" ht="25.5">
      <c r="A258" s="21" t="s">
        <v>13</v>
      </c>
      <c r="B258" s="9" t="s">
        <v>174</v>
      </c>
      <c r="C258" s="9" t="s">
        <v>412</v>
      </c>
      <c r="D258" s="14" t="s">
        <v>301</v>
      </c>
      <c r="E258" s="8" t="str">
        <f t="shared" si="3"/>
        <v>DISTRIBUTION-DRSM_EKOMBITIE_TRANSFO  90/30kV _EKO.D34 SANGMELIMA</v>
      </c>
      <c r="F258" s="4"/>
    </row>
    <row r="259" spans="1:6" ht="25.5">
      <c r="A259" s="21" t="s">
        <v>14</v>
      </c>
      <c r="B259" s="9" t="s">
        <v>178</v>
      </c>
      <c r="C259" s="9" t="s">
        <v>413</v>
      </c>
      <c r="D259" s="11" t="s">
        <v>180</v>
      </c>
      <c r="E259" s="8" t="str">
        <f t="shared" si="3"/>
        <v>DISTRIBUTION-DRONO_BAMENDA_TRANSFO  90/15kV_BDA.D11 VILLE</v>
      </c>
      <c r="F259" s="4"/>
    </row>
    <row r="260" spans="1:6" ht="25.5">
      <c r="A260" s="21" t="s">
        <v>14</v>
      </c>
      <c r="B260" s="9" t="s">
        <v>178</v>
      </c>
      <c r="C260" s="9" t="s">
        <v>413</v>
      </c>
      <c r="D260" s="11" t="s">
        <v>181</v>
      </c>
      <c r="E260" s="8" t="str">
        <f t="shared" ref="E260:E307" si="4">A260&amp;"_"&amp;B260&amp;"_"&amp;C260&amp;"_"&amp;D260</f>
        <v>DISTRIBUTION-DRONO_BAMENDA_TRANSFO  90/15kV_BDA.D12 VILLE</v>
      </c>
      <c r="F260" s="4"/>
    </row>
    <row r="261" spans="1:6" ht="25.5">
      <c r="A261" s="21" t="s">
        <v>14</v>
      </c>
      <c r="B261" s="9" t="s">
        <v>178</v>
      </c>
      <c r="C261" s="9" t="s">
        <v>413</v>
      </c>
      <c r="D261" s="11" t="s">
        <v>182</v>
      </c>
      <c r="E261" s="8" t="str">
        <f t="shared" si="4"/>
        <v>DISTRIBUTION-DRONO_BAMENDA_TRANSFO  90/15kV_BDA.D13 VILLE</v>
      </c>
      <c r="F261" s="4"/>
    </row>
    <row r="262" spans="1:6" ht="25.5">
      <c r="A262" s="21" t="s">
        <v>14</v>
      </c>
      <c r="B262" s="9" t="s">
        <v>178</v>
      </c>
      <c r="C262" s="9" t="s">
        <v>413</v>
      </c>
      <c r="D262" s="11" t="s">
        <v>183</v>
      </c>
      <c r="E262" s="8" t="str">
        <f t="shared" si="4"/>
        <v>DISTRIBUTION-DRONO_BAMENDA_TRANSFO  90/15kV_BDA.D31 MBENGWI</v>
      </c>
      <c r="F262" s="4"/>
    </row>
    <row r="263" spans="1:6" ht="25.5">
      <c r="A263" s="21" t="s">
        <v>14</v>
      </c>
      <c r="B263" s="9" t="s">
        <v>178</v>
      </c>
      <c r="C263" s="9" t="s">
        <v>413</v>
      </c>
      <c r="D263" s="11" t="s">
        <v>184</v>
      </c>
      <c r="E263" s="8" t="str">
        <f t="shared" si="4"/>
        <v>DISTRIBUTION-DRONO_BAMENDA_TRANSFO  90/15kV_BDA.D32 WUM</v>
      </c>
      <c r="F263" s="4"/>
    </row>
    <row r="264" spans="1:6" ht="25.5">
      <c r="A264" s="21" t="s">
        <v>14</v>
      </c>
      <c r="B264" s="9" t="s">
        <v>178</v>
      </c>
      <c r="C264" s="9" t="s">
        <v>413</v>
      </c>
      <c r="D264" s="11" t="s">
        <v>185</v>
      </c>
      <c r="E264" s="8" t="str">
        <f t="shared" si="4"/>
        <v>DISTRIBUTION-DRONO_BAMENDA_TRANSFO  90/15kV_BDA.D33 MAMFE</v>
      </c>
      <c r="F264" s="4"/>
    </row>
    <row r="265" spans="1:6" ht="25.5">
      <c r="A265" s="21" t="s">
        <v>14</v>
      </c>
      <c r="B265" s="9" t="s">
        <v>178</v>
      </c>
      <c r="C265" s="9" t="s">
        <v>413</v>
      </c>
      <c r="D265" s="11" t="s">
        <v>186</v>
      </c>
      <c r="E265" s="8" t="str">
        <f t="shared" si="4"/>
        <v>DISTRIBUTION-DRONO_BAMENDA_TRANSFO  90/15kV_BDA.D35 KUMBO</v>
      </c>
      <c r="F265" s="4"/>
    </row>
    <row r="266" spans="1:6" ht="25.5">
      <c r="A266" s="21" t="s">
        <v>14</v>
      </c>
      <c r="B266" s="9" t="s">
        <v>178</v>
      </c>
      <c r="C266" s="9" t="s">
        <v>413</v>
      </c>
      <c r="D266" s="11" t="s">
        <v>187</v>
      </c>
      <c r="E266" s="8" t="str">
        <f t="shared" si="4"/>
        <v>DISTRIBUTION-DRONO_BAMENDA_TRANSFO  90/15kV_BDA.D36 MBOUDA</v>
      </c>
      <c r="F266" s="4"/>
    </row>
    <row r="267" spans="1:6" ht="25.5">
      <c r="A267" s="21" t="s">
        <v>14</v>
      </c>
      <c r="B267" s="9" t="s">
        <v>177</v>
      </c>
      <c r="C267" s="9" t="s">
        <v>404</v>
      </c>
      <c r="D267" s="11" t="s">
        <v>188</v>
      </c>
      <c r="E267" s="8" t="str">
        <f t="shared" si="4"/>
        <v>DISTRIBUTION-DRONO_BAFOUSSAM_TRANSFO  90/30kV_BFS.D11 VILLE</v>
      </c>
      <c r="F267" s="4"/>
    </row>
    <row r="268" spans="1:6" ht="18.75" customHeight="1">
      <c r="A268" s="21" t="s">
        <v>14</v>
      </c>
      <c r="B268" s="9" t="s">
        <v>177</v>
      </c>
      <c r="C268" s="9" t="s">
        <v>404</v>
      </c>
      <c r="D268" s="11" t="s">
        <v>189</v>
      </c>
      <c r="E268" s="8" t="str">
        <f t="shared" si="4"/>
        <v>DISTRIBUTION-DRONO_BAFOUSSAM_TRANSFO  90/30kV_BFS.D11 VILLE-BAFOUSSAM</v>
      </c>
      <c r="F268" s="4"/>
    </row>
    <row r="269" spans="1:6" ht="25.5">
      <c r="A269" s="21" t="s">
        <v>14</v>
      </c>
      <c r="B269" s="9" t="s">
        <v>177</v>
      </c>
      <c r="C269" s="9" t="s">
        <v>404</v>
      </c>
      <c r="D269" s="11" t="s">
        <v>190</v>
      </c>
      <c r="E269" s="8" t="str">
        <f t="shared" si="4"/>
        <v>DISTRIBUTION-DRONO_BAFOUSSAM_TRANSFO  90/30kV_BFS.D12 VILLE</v>
      </c>
      <c r="F269" s="4"/>
    </row>
    <row r="270" spans="1:6" ht="25.5">
      <c r="A270" s="21" t="s">
        <v>14</v>
      </c>
      <c r="B270" s="9" t="s">
        <v>177</v>
      </c>
      <c r="C270" s="9" t="s">
        <v>404</v>
      </c>
      <c r="D270" s="11" t="s">
        <v>191</v>
      </c>
      <c r="E270" s="8" t="str">
        <f t="shared" si="4"/>
        <v>DISTRIBUTION-DRONO_BAFOUSSAM_TRANSFO  90/30kV_BFS.D13 VILLE</v>
      </c>
      <c r="F270" s="4"/>
    </row>
    <row r="271" spans="1:6" ht="25.5">
      <c r="A271" s="21" t="s">
        <v>14</v>
      </c>
      <c r="B271" s="9" t="s">
        <v>177</v>
      </c>
      <c r="C271" s="9" t="s">
        <v>404</v>
      </c>
      <c r="D271" s="11" t="s">
        <v>192</v>
      </c>
      <c r="E271" s="8" t="str">
        <f t="shared" si="4"/>
        <v>DISTRIBUTION-DRONO_BAFOUSSAM_TRANSFO  90/30kV_BFS.D31 MBOUDA</v>
      </c>
      <c r="F271" s="4"/>
    </row>
    <row r="272" spans="1:6" ht="25.5">
      <c r="A272" s="21" t="s">
        <v>14</v>
      </c>
      <c r="B272" s="9" t="s">
        <v>177</v>
      </c>
      <c r="C272" s="9" t="s">
        <v>404</v>
      </c>
      <c r="D272" s="11" t="s">
        <v>193</v>
      </c>
      <c r="E272" s="8" t="str">
        <f t="shared" si="4"/>
        <v>DISTRIBUTION-DRONO_BAFOUSSAM_TRANSFO  90/30kV_BFS.D32 FOUMBOT</v>
      </c>
      <c r="F272" s="4"/>
    </row>
    <row r="273" spans="1:6" ht="25.5">
      <c r="A273" s="21" t="s">
        <v>14</v>
      </c>
      <c r="B273" s="9" t="s">
        <v>177</v>
      </c>
      <c r="C273" s="9" t="s">
        <v>404</v>
      </c>
      <c r="D273" s="11" t="s">
        <v>194</v>
      </c>
      <c r="E273" s="8" t="str">
        <f t="shared" si="4"/>
        <v>DISTRIBUTION-DRONO_BAFOUSSAM_TRANSFO  90/30kV_BFS.D33 BANGANGTE</v>
      </c>
      <c r="F273" s="4"/>
    </row>
    <row r="274" spans="1:6" ht="15.75">
      <c r="A274" s="21" t="s">
        <v>15</v>
      </c>
      <c r="B274" s="9" t="s">
        <v>179</v>
      </c>
      <c r="C274" s="9" t="s">
        <v>404</v>
      </c>
      <c r="D274" s="11" t="s">
        <v>195</v>
      </c>
      <c r="E274" s="8" t="str">
        <f t="shared" si="4"/>
        <v>DISTRIBUTION-DRE_BERTOUA_TRANSFO  90/30kV_BENGBIS.D VILLE</v>
      </c>
      <c r="F274" s="4"/>
    </row>
    <row r="275" spans="1:6" ht="15.75">
      <c r="A275" s="21" t="s">
        <v>15</v>
      </c>
      <c r="B275" s="9" t="s">
        <v>179</v>
      </c>
      <c r="C275" s="9" t="s">
        <v>404</v>
      </c>
      <c r="D275" s="11" t="s">
        <v>196</v>
      </c>
      <c r="E275" s="8" t="str">
        <f t="shared" si="4"/>
        <v>DISTRIBUTION-DRE_BERTOUA_TRANSFO  90/30kV_BER.D11 VILLE</v>
      </c>
      <c r="F275" s="4"/>
    </row>
    <row r="276" spans="1:6" ht="15.75">
      <c r="A276" s="21" t="s">
        <v>15</v>
      </c>
      <c r="B276" s="9" t="s">
        <v>179</v>
      </c>
      <c r="C276" s="9" t="s">
        <v>404</v>
      </c>
      <c r="D276" s="11" t="s">
        <v>197</v>
      </c>
      <c r="E276" s="8" t="str">
        <f t="shared" si="4"/>
        <v>DISTRIBUTION-DRE_BERTOUA_TRANSFO  90/30kV_BER.D12VILLE</v>
      </c>
      <c r="F276" s="4"/>
    </row>
    <row r="277" spans="1:6" ht="25.5">
      <c r="A277" s="21" t="s">
        <v>15</v>
      </c>
      <c r="B277" s="9" t="s">
        <v>179</v>
      </c>
      <c r="C277" s="9" t="s">
        <v>404</v>
      </c>
      <c r="D277" s="11" t="s">
        <v>198</v>
      </c>
      <c r="E277" s="8" t="str">
        <f t="shared" si="4"/>
        <v>DISTRIBUTION-DRE_BERTOUA_TRANSFO  90/30kV_BER.D31 BATOURI</v>
      </c>
      <c r="F277" s="4"/>
    </row>
    <row r="278" spans="1:6" ht="15.75">
      <c r="A278" s="21" t="s">
        <v>15</v>
      </c>
      <c r="B278" s="9" t="s">
        <v>179</v>
      </c>
      <c r="C278" s="9" t="s">
        <v>404</v>
      </c>
      <c r="D278" s="11" t="s">
        <v>199</v>
      </c>
      <c r="E278" s="8" t="str">
        <f t="shared" si="4"/>
        <v>DISTRIBUTION-DRE_BERTOUA_TRANSFO  90/30kV_BER.D32 BELABO</v>
      </c>
      <c r="F278" s="4"/>
    </row>
    <row r="279" spans="1:6" ht="15.75">
      <c r="A279" s="21" t="s">
        <v>15</v>
      </c>
      <c r="B279" s="9" t="s">
        <v>179</v>
      </c>
      <c r="C279" s="9" t="s">
        <v>404</v>
      </c>
      <c r="D279" s="11" t="s">
        <v>200</v>
      </c>
      <c r="E279" s="8" t="str">
        <f t="shared" si="4"/>
        <v>DISTRIBUTION-DRE_BERTOUA_TRANSFO  90/30kV_BER.D33 ABG</v>
      </c>
      <c r="F279" s="4"/>
    </row>
    <row r="280" spans="1:6" ht="25.5">
      <c r="A280" s="21" t="s">
        <v>15</v>
      </c>
      <c r="B280" s="9" t="s">
        <v>179</v>
      </c>
      <c r="C280" s="9" t="s">
        <v>404</v>
      </c>
      <c r="D280" s="11" t="s">
        <v>201</v>
      </c>
      <c r="E280" s="8" t="str">
        <f t="shared" si="4"/>
        <v>DISTRIBUTION-DRE_BERTOUA_TRANSFO  90/30kV_BETARE.D CENTRALE</v>
      </c>
      <c r="F280" s="4"/>
    </row>
    <row r="281" spans="1:6" ht="25.5">
      <c r="A281" s="21" t="s">
        <v>17</v>
      </c>
      <c r="B281" s="9" t="s">
        <v>175</v>
      </c>
      <c r="C281" s="9" t="s">
        <v>404</v>
      </c>
      <c r="D281" s="11" t="s">
        <v>214</v>
      </c>
      <c r="E281" s="8" t="str">
        <f t="shared" si="4"/>
        <v>DISTRIBUTION-DRSOM_MILE2 LIMBE_TRANSFO  90/30kV_LBE.D31BUEA</v>
      </c>
      <c r="F281" s="4"/>
    </row>
    <row r="282" spans="1:6" ht="25.5">
      <c r="A282" s="21" t="s">
        <v>17</v>
      </c>
      <c r="B282" s="9" t="s">
        <v>175</v>
      </c>
      <c r="C282" s="9" t="s">
        <v>404</v>
      </c>
      <c r="D282" s="11" t="s">
        <v>215</v>
      </c>
      <c r="E282" s="8" t="str">
        <f t="shared" si="4"/>
        <v>DISTRIBUTION-DRSOM_MILE2 LIMBE_TRANSFO  90/30kV_LBE.D32LIMBE</v>
      </c>
      <c r="F282" s="4"/>
    </row>
    <row r="283" spans="1:6" ht="25.5">
      <c r="A283" s="21" t="s">
        <v>17</v>
      </c>
      <c r="B283" s="9" t="s">
        <v>175</v>
      </c>
      <c r="C283" s="9" t="s">
        <v>404</v>
      </c>
      <c r="D283" s="11" t="s">
        <v>216</v>
      </c>
      <c r="E283" s="8" t="str">
        <f t="shared" si="4"/>
        <v>DISTRIBUTION-DRSOM_MILE2 LIMBE_TRANSFO  90/30kV_LBE.D33TIKO</v>
      </c>
      <c r="F283" s="4"/>
    </row>
    <row r="284" spans="1:6" ht="25.5">
      <c r="A284" s="21" t="s">
        <v>17</v>
      </c>
      <c r="B284" s="9" t="s">
        <v>175</v>
      </c>
      <c r="C284" s="9" t="s">
        <v>404</v>
      </c>
      <c r="D284" s="11" t="s">
        <v>217</v>
      </c>
      <c r="E284" s="8" t="str">
        <f t="shared" si="4"/>
        <v>DISTRIBUTION-DRSOM_MILE2 LIMBE_TRANSFO  90/30kV_LBE.D34SONARA</v>
      </c>
      <c r="F284" s="4"/>
    </row>
    <row r="285" spans="1:6" ht="25.5">
      <c r="A285" s="21" t="s">
        <v>17</v>
      </c>
      <c r="B285" s="9" t="s">
        <v>176</v>
      </c>
      <c r="C285" s="9" t="s">
        <v>404</v>
      </c>
      <c r="D285" s="11" t="s">
        <v>211</v>
      </c>
      <c r="E285" s="8" t="str">
        <f t="shared" si="4"/>
        <v>DISTRIBUTION-DRSOM_NJOMBE_TRANSFO  90/30kV_NJBE.D32 LOUM</v>
      </c>
      <c r="F285" s="4"/>
    </row>
    <row r="286" spans="1:6" ht="25.5">
      <c r="A286" s="21" t="s">
        <v>17</v>
      </c>
      <c r="B286" s="9" t="s">
        <v>176</v>
      </c>
      <c r="C286" s="9" t="s">
        <v>404</v>
      </c>
      <c r="D286" s="11" t="s">
        <v>212</v>
      </c>
      <c r="E286" s="8" t="str">
        <f t="shared" si="4"/>
        <v>DISTRIBUTION-DRSOM_NJOMBE_TRANSFO  90/30kV_NJBE.D33 MBANGA</v>
      </c>
      <c r="F286" s="4"/>
    </row>
    <row r="287" spans="1:6" ht="15.75">
      <c r="A287" s="21" t="s">
        <v>17</v>
      </c>
      <c r="B287" s="9" t="s">
        <v>176</v>
      </c>
      <c r="C287" s="9" t="s">
        <v>404</v>
      </c>
      <c r="D287" s="11" t="s">
        <v>213</v>
      </c>
      <c r="E287" s="8" t="str">
        <f t="shared" si="4"/>
        <v>DISTRIBUTION-DRSOM_NJOMBE_TRANSFO  90/30kV_NJBE.D34 PHP</v>
      </c>
      <c r="F287" s="4"/>
    </row>
    <row r="288" spans="1:6" ht="25.5">
      <c r="A288" s="21" t="s">
        <v>17</v>
      </c>
      <c r="B288" s="9" t="s">
        <v>202</v>
      </c>
      <c r="C288" s="9" t="s">
        <v>404</v>
      </c>
      <c r="D288" s="11" t="s">
        <v>206</v>
      </c>
      <c r="E288" s="8" t="str">
        <f t="shared" si="4"/>
        <v>DISTRIBUTION-DRSOM_NKONGSAMBA_TRANSFO  90/30kV_NKS.D11VILLE</v>
      </c>
      <c r="F288" s="4"/>
    </row>
    <row r="289" spans="1:6" ht="25.5">
      <c r="A289" s="21" t="s">
        <v>17</v>
      </c>
      <c r="B289" s="9" t="s">
        <v>202</v>
      </c>
      <c r="C289" s="9" t="s">
        <v>404</v>
      </c>
      <c r="D289" s="11" t="s">
        <v>207</v>
      </c>
      <c r="E289" s="8" t="str">
        <f t="shared" si="4"/>
        <v>DISTRIBUTION-DRSOM_NKONGSAMBA_TRANSFO  90/30kV_NKS.D12VILLE</v>
      </c>
      <c r="F289" s="4"/>
    </row>
    <row r="290" spans="1:6" ht="25.5">
      <c r="A290" s="21" t="s">
        <v>17</v>
      </c>
      <c r="B290" s="9" t="s">
        <v>202</v>
      </c>
      <c r="C290" s="9" t="s">
        <v>404</v>
      </c>
      <c r="D290" s="11" t="s">
        <v>208</v>
      </c>
      <c r="E290" s="8" t="str">
        <f t="shared" si="4"/>
        <v>DISTRIBUTION-DRSOM_NKONGSAMBA_TRANSFO  90/30kV_NKS.D13VILLE</v>
      </c>
      <c r="F290" s="4"/>
    </row>
    <row r="291" spans="1:6" ht="25.5">
      <c r="A291" s="21" t="s">
        <v>17</v>
      </c>
      <c r="B291" s="9" t="s">
        <v>202</v>
      </c>
      <c r="C291" s="9" t="s">
        <v>404</v>
      </c>
      <c r="D291" s="11" t="s">
        <v>209</v>
      </c>
      <c r="E291" s="8" t="str">
        <f t="shared" si="4"/>
        <v>DISTRIBUTION-DRSOM_NKONGSAMBA_TRANSFO  90/30kV_NKS.D31MANJO</v>
      </c>
      <c r="F291" s="4"/>
    </row>
    <row r="292" spans="1:6" ht="25.5">
      <c r="A292" s="21" t="s">
        <v>17</v>
      </c>
      <c r="B292" s="9" t="s">
        <v>202</v>
      </c>
      <c r="C292" s="9" t="s">
        <v>404</v>
      </c>
      <c r="D292" s="11" t="s">
        <v>210</v>
      </c>
      <c r="E292" s="8" t="str">
        <f t="shared" si="4"/>
        <v>DISTRIBUTION-DRSOM_NKONGSAMBA_TRANSFO  90/30kV_NKS.D32BAFANG</v>
      </c>
      <c r="F292" s="4"/>
    </row>
    <row r="293" spans="1:6" ht="25.5">
      <c r="A293" s="21" t="s">
        <v>18</v>
      </c>
      <c r="B293" s="9" t="s">
        <v>219</v>
      </c>
      <c r="C293" s="9" t="s">
        <v>404</v>
      </c>
      <c r="D293" s="11" t="s">
        <v>203</v>
      </c>
      <c r="E293" s="8" t="str">
        <f t="shared" si="4"/>
        <v>DISTRIBUTION-DRSANO_NDJOCK NKONG_TRANSFO  90/30kV_NDJ.D31 POUMA</v>
      </c>
      <c r="F293" s="4"/>
    </row>
    <row r="294" spans="1:6" ht="25.5">
      <c r="A294" s="21" t="s">
        <v>18</v>
      </c>
      <c r="B294" s="9" t="s">
        <v>219</v>
      </c>
      <c r="C294" s="9" t="s">
        <v>404</v>
      </c>
      <c r="D294" s="11" t="s">
        <v>204</v>
      </c>
      <c r="E294" s="8" t="str">
        <f t="shared" si="4"/>
        <v>DISTRIBUTION-DRSANO_NDJOCK NKONG_TRANSFO  90/30kV_NDJ.D32BAFIA</v>
      </c>
      <c r="F294" s="4"/>
    </row>
    <row r="295" spans="1:6" ht="25.5">
      <c r="A295" s="21" t="s">
        <v>18</v>
      </c>
      <c r="B295" s="9" t="s">
        <v>219</v>
      </c>
      <c r="C295" s="9" t="s">
        <v>404</v>
      </c>
      <c r="D295" s="11" t="s">
        <v>205</v>
      </c>
      <c r="E295" s="8" t="str">
        <f t="shared" si="4"/>
        <v>DISTRIBUTION-DRSANO_NDJOCK NKONG_TRANSFO  90/30kV_NDJ.D33 MATOMB</v>
      </c>
      <c r="F295" s="4"/>
    </row>
    <row r="296" spans="1:6" ht="25.5">
      <c r="A296" s="21" t="s">
        <v>18</v>
      </c>
      <c r="B296" s="9" t="s">
        <v>261</v>
      </c>
      <c r="C296" s="9" t="s">
        <v>404</v>
      </c>
      <c r="D296" s="11" t="s">
        <v>262</v>
      </c>
      <c r="E296" s="8" t="str">
        <f t="shared" si="4"/>
        <v>DISTRIBUTION-DRSANO_MPOLONGWE_TRANSFO  90/30kV_MPOL.D31 EDEA</v>
      </c>
      <c r="F296" s="4"/>
    </row>
    <row r="297" spans="1:6" ht="25.5">
      <c r="A297" s="21" t="s">
        <v>18</v>
      </c>
      <c r="B297" s="9" t="s">
        <v>261</v>
      </c>
      <c r="C297" s="9" t="s">
        <v>404</v>
      </c>
      <c r="D297" s="11" t="s">
        <v>263</v>
      </c>
      <c r="E297" s="8" t="str">
        <f t="shared" si="4"/>
        <v>DISTRIBUTION-DRSANO_MPOLONGWE_TRANSFO  90/30kV_MPOL.D32 KRIBI</v>
      </c>
      <c r="F297" s="4"/>
    </row>
    <row r="298" spans="1:6" ht="25.5">
      <c r="A298" s="21" t="s">
        <v>18</v>
      </c>
      <c r="B298" s="9" t="s">
        <v>261</v>
      </c>
      <c r="C298" s="9" t="s">
        <v>404</v>
      </c>
      <c r="D298" s="11" t="s">
        <v>264</v>
      </c>
      <c r="E298" s="8" t="str">
        <f t="shared" si="4"/>
        <v>DISTRIBUTION-DRSANO_MPOLONGWE_TRANSFO  90/30kV_MPOL.D33 PAK</v>
      </c>
      <c r="F298" s="4"/>
    </row>
    <row r="299" spans="1:6" ht="25.5">
      <c r="A299" s="21" t="s">
        <v>18</v>
      </c>
      <c r="B299" s="9" t="s">
        <v>261</v>
      </c>
      <c r="C299" s="9" t="s">
        <v>404</v>
      </c>
      <c r="D299" s="11" t="s">
        <v>265</v>
      </c>
      <c r="E299" s="8" t="str">
        <f t="shared" si="4"/>
        <v>DISTRIBUTION-DRSANO_MPOLONGWE_TRANSFO  90/30kV_MPOL.D35 SNH</v>
      </c>
      <c r="F299" s="4"/>
    </row>
    <row r="300" spans="1:6" ht="25.5">
      <c r="A300" s="21" t="s">
        <v>18</v>
      </c>
      <c r="B300" s="9" t="s">
        <v>261</v>
      </c>
      <c r="C300" s="9" t="s">
        <v>404</v>
      </c>
      <c r="D300" s="11" t="s">
        <v>266</v>
      </c>
      <c r="E300" s="8" t="str">
        <f t="shared" si="4"/>
        <v>DISTRIBUTION-DRSANO_MPOLONGWE_TRANSFO  90/30kV_MPOL.D36 KRIBI</v>
      </c>
      <c r="F300" s="4"/>
    </row>
    <row r="301" spans="1:6" ht="25.5">
      <c r="A301" s="21" t="s">
        <v>18</v>
      </c>
      <c r="B301" s="9" t="s">
        <v>267</v>
      </c>
      <c r="C301" s="9" t="s">
        <v>414</v>
      </c>
      <c r="D301" s="11" t="s">
        <v>268</v>
      </c>
      <c r="E301" s="8" t="str">
        <f t="shared" si="4"/>
        <v>DISTRIBUTION-DRSANO_EDEA_Transfo N°1  15kV_ED15KV.D14 VILLE N°1</v>
      </c>
      <c r="F301" s="4"/>
    </row>
    <row r="302" spans="1:6" ht="25.5">
      <c r="A302" s="21" t="s">
        <v>18</v>
      </c>
      <c r="B302" s="9" t="s">
        <v>267</v>
      </c>
      <c r="C302" s="9" t="s">
        <v>415</v>
      </c>
      <c r="D302" s="11" t="s">
        <v>269</v>
      </c>
      <c r="E302" s="8" t="str">
        <f t="shared" si="4"/>
        <v>DISTRIBUTION-DRSANO_EDEA_Transfo N°2  15kV_ED15KV.D14 VILLE N°2</v>
      </c>
      <c r="F302" s="4"/>
    </row>
    <row r="303" spans="1:6" ht="25.5">
      <c r="A303" s="21" t="s">
        <v>18</v>
      </c>
      <c r="B303" s="9" t="s">
        <v>270</v>
      </c>
      <c r="C303" s="9" t="s">
        <v>270</v>
      </c>
      <c r="D303" s="11" t="s">
        <v>302</v>
      </c>
      <c r="E303" s="8" t="str">
        <f t="shared" si="4"/>
        <v>DISTRIBUTION-DRSANO_SLL_transfo 15kV_SLL_transfo 15kV_SLL.D11 MASSOCK</v>
      </c>
      <c r="F303" s="4"/>
    </row>
    <row r="304" spans="1:6" ht="25.5">
      <c r="A304" s="21" t="s">
        <v>18</v>
      </c>
      <c r="B304" s="9" t="s">
        <v>272</v>
      </c>
      <c r="C304" s="9" t="s">
        <v>272</v>
      </c>
      <c r="D304" s="11" t="s">
        <v>271</v>
      </c>
      <c r="E304" s="8" t="str">
        <f t="shared" si="4"/>
        <v>DISTRIBUTION-DRSANO_CAMPO-Transfo 15kV_CAMPO-Transfo 15kV_CAMPO.D VILLE</v>
      </c>
      <c r="F304" s="4"/>
    </row>
    <row r="305" spans="1:6" ht="25.5">
      <c r="A305" s="21" t="s">
        <v>16</v>
      </c>
      <c r="B305" s="9" t="s">
        <v>20</v>
      </c>
      <c r="C305" s="9" t="s">
        <v>416</v>
      </c>
      <c r="D305" s="10" t="s">
        <v>288</v>
      </c>
      <c r="E305" s="8" t="str">
        <f t="shared" si="4"/>
        <v>DISTRIBUTION-DRC_NGOUSSO_TRANSFO N°1 90/30kV_NGO.D31 MONATELE</v>
      </c>
      <c r="F305" s="4"/>
    </row>
    <row r="306" spans="1:6" ht="25.5">
      <c r="A306" s="21" t="s">
        <v>16</v>
      </c>
      <c r="B306" s="9" t="s">
        <v>20</v>
      </c>
      <c r="C306" s="9" t="s">
        <v>416</v>
      </c>
      <c r="D306" s="10" t="s">
        <v>289</v>
      </c>
      <c r="E306" s="8" t="str">
        <f t="shared" si="4"/>
        <v>DISTRIBUTION-DRC_NGOUSSO_TRANSFO N°1 90/30kV_NGO.D32 OBALA</v>
      </c>
      <c r="F306" s="4"/>
    </row>
    <row r="307" spans="1:6" ht="25.5">
      <c r="A307" s="21" t="s">
        <v>16</v>
      </c>
      <c r="B307" s="9" t="s">
        <v>20</v>
      </c>
      <c r="C307" s="9" t="s">
        <v>416</v>
      </c>
      <c r="D307" s="10" t="s">
        <v>290</v>
      </c>
      <c r="E307" s="8" t="str">
        <f t="shared" si="4"/>
        <v>DISTRIBUTION-DRC_NGOUSSO_TRANSFO N°1 90/30kV_NGO.D34 AKONOLINGA</v>
      </c>
      <c r="F307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4E2C-587C-4BD6-AE46-CD84EFEB563D}">
  <dimension ref="A2:B31"/>
  <sheetViews>
    <sheetView workbookViewId="0">
      <selection activeCell="A12" sqref="A12:A31"/>
    </sheetView>
  </sheetViews>
  <sheetFormatPr baseColWidth="10" defaultRowHeight="15"/>
  <cols>
    <col min="1" max="1" width="21.5703125" customWidth="1"/>
    <col min="2" max="2" width="48.140625" customWidth="1"/>
    <col min="3" max="3" width="21.42578125" customWidth="1"/>
  </cols>
  <sheetData>
    <row r="2" spans="1:2">
      <c r="A2" s="40" t="s">
        <v>636</v>
      </c>
      <c r="B2" s="33" t="s">
        <v>513</v>
      </c>
    </row>
    <row r="3" spans="1:2">
      <c r="A3" s="41"/>
      <c r="B3" s="33" t="s">
        <v>514</v>
      </c>
    </row>
    <row r="4" spans="1:2">
      <c r="A4" s="41"/>
      <c r="B4" s="33" t="s">
        <v>515</v>
      </c>
    </row>
    <row r="5" spans="1:2">
      <c r="A5" s="41"/>
      <c r="B5" s="33" t="s">
        <v>516</v>
      </c>
    </row>
    <row r="6" spans="1:2">
      <c r="A6" s="41"/>
      <c r="B6" s="33" t="s">
        <v>517</v>
      </c>
    </row>
    <row r="7" spans="1:2">
      <c r="A7" s="42"/>
      <c r="B7" s="33" t="s">
        <v>518</v>
      </c>
    </row>
    <row r="8" spans="1:2">
      <c r="A8" s="40" t="s">
        <v>218</v>
      </c>
      <c r="B8" s="33" t="s">
        <v>519</v>
      </c>
    </row>
    <row r="9" spans="1:2">
      <c r="A9" s="41"/>
      <c r="B9" s="33" t="s">
        <v>520</v>
      </c>
    </row>
    <row r="10" spans="1:2">
      <c r="A10" s="41"/>
      <c r="B10" s="33" t="s">
        <v>521</v>
      </c>
    </row>
    <row r="11" spans="1:2">
      <c r="A11" s="42"/>
      <c r="B11" s="33" t="s">
        <v>522</v>
      </c>
    </row>
    <row r="12" spans="1:2">
      <c r="A12" s="40" t="s">
        <v>637</v>
      </c>
      <c r="B12" s="33" t="s">
        <v>523</v>
      </c>
    </row>
    <row r="13" spans="1:2">
      <c r="A13" s="41"/>
      <c r="B13" s="33" t="s">
        <v>524</v>
      </c>
    </row>
    <row r="14" spans="1:2">
      <c r="A14" s="41"/>
      <c r="B14" s="33" t="s">
        <v>525</v>
      </c>
    </row>
    <row r="15" spans="1:2">
      <c r="A15" s="41"/>
      <c r="B15" s="33" t="s">
        <v>526</v>
      </c>
    </row>
    <row r="16" spans="1:2">
      <c r="A16" s="41"/>
      <c r="B16" s="33" t="s">
        <v>527</v>
      </c>
    </row>
    <row r="17" spans="1:2">
      <c r="A17" s="41"/>
      <c r="B17" s="33" t="s">
        <v>528</v>
      </c>
    </row>
    <row r="18" spans="1:2">
      <c r="A18" s="41"/>
      <c r="B18" s="33" t="s">
        <v>529</v>
      </c>
    </row>
    <row r="19" spans="1:2">
      <c r="A19" s="41"/>
      <c r="B19" s="33" t="s">
        <v>530</v>
      </c>
    </row>
    <row r="20" spans="1:2">
      <c r="A20" s="41"/>
      <c r="B20" s="33" t="s">
        <v>531</v>
      </c>
    </row>
    <row r="21" spans="1:2">
      <c r="A21" s="41"/>
      <c r="B21" s="33" t="s">
        <v>532</v>
      </c>
    </row>
    <row r="22" spans="1:2">
      <c r="A22" s="41"/>
      <c r="B22" s="33" t="s">
        <v>533</v>
      </c>
    </row>
    <row r="23" spans="1:2">
      <c r="A23" s="41"/>
      <c r="B23" s="33" t="s">
        <v>534</v>
      </c>
    </row>
    <row r="24" spans="1:2">
      <c r="A24" s="41"/>
      <c r="B24" s="33" t="s">
        <v>535</v>
      </c>
    </row>
    <row r="25" spans="1:2">
      <c r="A25" s="41"/>
      <c r="B25" s="33" t="s">
        <v>536</v>
      </c>
    </row>
    <row r="26" spans="1:2">
      <c r="A26" s="41"/>
      <c r="B26" s="33" t="s">
        <v>537</v>
      </c>
    </row>
    <row r="27" spans="1:2">
      <c r="A27" s="41"/>
      <c r="B27" s="33" t="s">
        <v>538</v>
      </c>
    </row>
    <row r="28" spans="1:2">
      <c r="A28" s="41"/>
      <c r="B28" s="33" t="s">
        <v>539</v>
      </c>
    </row>
    <row r="29" spans="1:2">
      <c r="A29" s="41"/>
      <c r="B29" s="33" t="s">
        <v>540</v>
      </c>
    </row>
    <row r="30" spans="1:2">
      <c r="A30" s="41"/>
      <c r="B30" s="33" t="s">
        <v>541</v>
      </c>
    </row>
    <row r="31" spans="1:2">
      <c r="A31" s="42"/>
      <c r="B31" s="33" t="s">
        <v>542</v>
      </c>
    </row>
  </sheetData>
  <mergeCells count="3">
    <mergeCell ref="A2:A7"/>
    <mergeCell ref="A8:A11"/>
    <mergeCell ref="A12:A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2AA-3716-488D-A3BB-BE40C7C9D0C2}">
  <dimension ref="B2:E36"/>
  <sheetViews>
    <sheetView workbookViewId="0">
      <selection activeCell="C15" sqref="C15"/>
    </sheetView>
  </sheetViews>
  <sheetFormatPr baseColWidth="10" defaultRowHeight="15"/>
  <cols>
    <col min="2" max="2" width="40.28515625" customWidth="1"/>
    <col min="3" max="3" width="25.42578125" customWidth="1"/>
    <col min="4" max="4" width="29.42578125" customWidth="1"/>
    <col min="5" max="5" width="38" customWidth="1"/>
  </cols>
  <sheetData>
    <row r="2" spans="2:5" ht="23.25" customHeight="1">
      <c r="B2" s="31"/>
      <c r="C2" s="5" t="s">
        <v>568</v>
      </c>
      <c r="D2" s="5" t="s">
        <v>569</v>
      </c>
      <c r="E2" s="5" t="s">
        <v>570</v>
      </c>
    </row>
    <row r="3" spans="2:5" ht="30">
      <c r="B3" s="32"/>
      <c r="C3" s="34" t="s">
        <v>545</v>
      </c>
      <c r="D3" s="35" t="s">
        <v>308</v>
      </c>
      <c r="E3" s="34" t="s">
        <v>543</v>
      </c>
    </row>
    <row r="4" spans="2:5">
      <c r="B4" s="32"/>
      <c r="C4" s="23" t="s">
        <v>571</v>
      </c>
      <c r="D4" s="35" t="s">
        <v>305</v>
      </c>
      <c r="E4" s="34" t="s">
        <v>544</v>
      </c>
    </row>
    <row r="5" spans="2:5">
      <c r="B5" s="32"/>
      <c r="C5" s="23" t="s">
        <v>572</v>
      </c>
      <c r="D5" s="35" t="s">
        <v>306</v>
      </c>
      <c r="E5" s="34" t="s">
        <v>545</v>
      </c>
    </row>
    <row r="6" spans="2:5">
      <c r="B6" s="32"/>
      <c r="C6" s="23"/>
      <c r="D6" s="35" t="s">
        <v>307</v>
      </c>
      <c r="E6" s="34" t="s">
        <v>546</v>
      </c>
    </row>
    <row r="7" spans="2:5">
      <c r="B7" s="32"/>
      <c r="C7" s="23"/>
      <c r="D7" s="35" t="s">
        <v>309</v>
      </c>
      <c r="E7" s="34" t="s">
        <v>547</v>
      </c>
    </row>
    <row r="8" spans="2:5" ht="30">
      <c r="B8" s="32"/>
      <c r="C8" s="33"/>
      <c r="D8" s="35" t="s">
        <v>310</v>
      </c>
      <c r="E8" s="34" t="s">
        <v>548</v>
      </c>
    </row>
    <row r="9" spans="2:5">
      <c r="B9" s="32"/>
      <c r="C9" s="23"/>
      <c r="D9" s="35"/>
      <c r="E9" s="34" t="s">
        <v>549</v>
      </c>
    </row>
    <row r="10" spans="2:5">
      <c r="B10" s="32"/>
      <c r="C10" s="24"/>
      <c r="D10" s="36"/>
      <c r="E10" s="34" t="s">
        <v>550</v>
      </c>
    </row>
    <row r="11" spans="2:5">
      <c r="B11" s="32"/>
      <c r="C11" s="33"/>
      <c r="D11" s="33"/>
      <c r="E11" s="34" t="s">
        <v>551</v>
      </c>
    </row>
    <row r="12" spans="2:5">
      <c r="B12" s="32"/>
      <c r="C12" s="33"/>
      <c r="D12" s="33"/>
      <c r="E12" s="34" t="s">
        <v>552</v>
      </c>
    </row>
    <row r="13" spans="2:5">
      <c r="B13" s="32"/>
      <c r="C13" s="33"/>
      <c r="D13" s="33"/>
      <c r="E13" s="34" t="s">
        <v>553</v>
      </c>
    </row>
    <row r="14" spans="2:5">
      <c r="B14" s="32"/>
      <c r="C14" s="33"/>
      <c r="D14" s="33"/>
      <c r="E14" s="34" t="s">
        <v>554</v>
      </c>
    </row>
    <row r="15" spans="2:5">
      <c r="B15" s="32"/>
      <c r="C15" s="33"/>
      <c r="D15" s="33"/>
      <c r="E15" s="34" t="s">
        <v>555</v>
      </c>
    </row>
    <row r="16" spans="2:5">
      <c r="B16" s="32"/>
      <c r="C16" s="33"/>
      <c r="D16" s="33"/>
      <c r="E16" s="34" t="s">
        <v>556</v>
      </c>
    </row>
    <row r="17" spans="2:5">
      <c r="B17" s="32"/>
      <c r="C17" s="33"/>
      <c r="D17" s="33"/>
      <c r="E17" s="34" t="s">
        <v>557</v>
      </c>
    </row>
    <row r="18" spans="2:5">
      <c r="B18" s="32"/>
      <c r="C18" s="33"/>
      <c r="D18" s="33"/>
      <c r="E18" s="34" t="s">
        <v>558</v>
      </c>
    </row>
    <row r="19" spans="2:5">
      <c r="B19" s="32"/>
      <c r="C19" s="33"/>
      <c r="D19" s="33"/>
      <c r="E19" s="34" t="s">
        <v>559</v>
      </c>
    </row>
    <row r="20" spans="2:5">
      <c r="B20" s="32"/>
      <c r="C20" s="33"/>
      <c r="D20" s="33"/>
      <c r="E20" s="34" t="s">
        <v>560</v>
      </c>
    </row>
    <row r="21" spans="2:5">
      <c r="B21" s="32"/>
      <c r="C21" s="33"/>
      <c r="D21" s="33"/>
      <c r="E21" s="34" t="s">
        <v>561</v>
      </c>
    </row>
    <row r="22" spans="2:5">
      <c r="B22" s="32"/>
      <c r="C22" s="33"/>
      <c r="D22" s="33"/>
      <c r="E22" s="34" t="s">
        <v>562</v>
      </c>
    </row>
    <row r="23" spans="2:5">
      <c r="B23" s="32"/>
      <c r="C23" s="33"/>
      <c r="D23" s="33"/>
      <c r="E23" s="34" t="s">
        <v>563</v>
      </c>
    </row>
    <row r="24" spans="2:5">
      <c r="B24" s="32"/>
      <c r="C24" s="33"/>
      <c r="D24" s="33"/>
      <c r="E24" s="34" t="s">
        <v>564</v>
      </c>
    </row>
    <row r="25" spans="2:5">
      <c r="B25" s="32"/>
      <c r="C25" s="33"/>
      <c r="D25" s="33"/>
      <c r="E25" s="34" t="s">
        <v>565</v>
      </c>
    </row>
    <row r="26" spans="2:5">
      <c r="B26" s="32"/>
      <c r="C26" s="33"/>
      <c r="D26" s="33"/>
      <c r="E26" s="34" t="s">
        <v>566</v>
      </c>
    </row>
    <row r="27" spans="2:5">
      <c r="B27" s="32"/>
      <c r="C27" s="33"/>
      <c r="D27" s="33"/>
      <c r="E27" s="34" t="s">
        <v>567</v>
      </c>
    </row>
    <row r="28" spans="2:5">
      <c r="B28" s="32"/>
      <c r="E28" s="32"/>
    </row>
    <row r="29" spans="2:5">
      <c r="E29" s="32"/>
    </row>
    <row r="30" spans="2:5">
      <c r="E30" s="32"/>
    </row>
    <row r="31" spans="2:5">
      <c r="E31" s="32"/>
    </row>
    <row r="32" spans="2:5">
      <c r="E32" s="32"/>
    </row>
    <row r="33" spans="5:5">
      <c r="E33" s="32"/>
    </row>
    <row r="34" spans="5:5">
      <c r="E34" s="32"/>
    </row>
    <row r="35" spans="5:5">
      <c r="E35" s="32"/>
    </row>
    <row r="36" spans="5:5">
      <c r="E36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B929-D372-4212-B395-9B0A16CC8F47}">
  <dimension ref="A3:L3"/>
  <sheetViews>
    <sheetView topLeftCell="A4" workbookViewId="0">
      <selection sqref="A1:C1048576"/>
    </sheetView>
  </sheetViews>
  <sheetFormatPr baseColWidth="10" defaultRowHeight="15"/>
  <cols>
    <col min="1" max="1" width="24.5703125" customWidth="1"/>
    <col min="2" max="12" width="20.28515625" customWidth="1"/>
  </cols>
  <sheetData>
    <row r="3" spans="1:12" ht="38.25">
      <c r="A3" s="43" t="s">
        <v>649</v>
      </c>
      <c r="B3" s="43" t="s">
        <v>648</v>
      </c>
      <c r="C3" s="43" t="s">
        <v>638</v>
      </c>
      <c r="D3" s="43" t="s">
        <v>639</v>
      </c>
      <c r="E3" s="43" t="s">
        <v>640</v>
      </c>
      <c r="F3" s="43" t="s">
        <v>641</v>
      </c>
      <c r="G3" s="43" t="s">
        <v>642</v>
      </c>
      <c r="H3" s="43" t="s">
        <v>643</v>
      </c>
      <c r="I3" s="43" t="s">
        <v>644</v>
      </c>
      <c r="J3" s="43" t="s">
        <v>645</v>
      </c>
      <c r="K3" s="43" t="s">
        <v>646</v>
      </c>
      <c r="L3" s="43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Type réseau et Réf production</vt:lpstr>
      <vt:lpstr>Type de réseau et réf transport</vt:lpstr>
      <vt:lpstr>Type de réseau et réf distribut</vt:lpstr>
      <vt:lpstr>Unité demanderesse</vt:lpstr>
      <vt:lpstr>Type de travaux</vt:lpstr>
      <vt:lpstr>Centrale thermique sollicitée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Dongmo Dongo</dc:creator>
  <cp:lastModifiedBy>Brice Dongmo Dongo</cp:lastModifiedBy>
  <dcterms:created xsi:type="dcterms:W3CDTF">2015-06-05T18:19:34Z</dcterms:created>
  <dcterms:modified xsi:type="dcterms:W3CDTF">2026-03-19T15:53:58Z</dcterms:modified>
</cp:coreProperties>
</file>